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LAH\Documents\ROUTE\"/>
    </mc:Choice>
  </mc:AlternateContent>
  <xr:revisionPtr revIDLastSave="0" documentId="13_ncr:1_{40E8CEF4-DC69-4D1F-8455-2C50D066E912}" xr6:coauthVersionLast="47" xr6:coauthVersionMax="47" xr10:uidLastSave="{00000000-0000-0000-0000-000000000000}"/>
  <bookViews>
    <workbookView xWindow="-108" yWindow="-108" windowWidth="23256" windowHeight="13896" activeTab="2" xr2:uid="{7BAA768D-8D12-4E41-B677-50253284E7B9}"/>
  </bookViews>
  <sheets>
    <sheet name="Today" sheetId="1" r:id="rId1"/>
    <sheet name="DATA CLEANING" sheetId="3" r:id="rId2"/>
    <sheet name="Remove Duplicate" sheetId="6" r:id="rId3"/>
    <sheet name="MISSING VALUE" sheetId="4" r:id="rId4"/>
    <sheet name="DATA INCONSISTENCY" sheetId="5" r:id="rId5"/>
    <sheet name="Text to column" sheetId="7" r:id="rId6"/>
    <sheet name="Flash Fill" sheetId="8" r:id="rId7"/>
  </sheets>
  <externalReferences>
    <externalReference r:id="rId8"/>
  </externalReferences>
  <definedNames>
    <definedName name="unit">'[1]Table&amp; Range'!$E$7:$E$16</definedName>
    <definedName name="unit1">'[1]Table&amp; Range'!$E$7:$E$16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M6" i="4" a="1"/>
  <c r="N6" i="4" s="1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N9" i="4" l="1"/>
  <c r="N7" i="4"/>
  <c r="N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<sst xmlns="http://schemas.openxmlformats.org/spreadsheetml/2006/main" count="1964" uniqueCount="501">
  <si>
    <t>Power Query Introduction</t>
  </si>
  <si>
    <t xml:space="preserve"> Introduction to Data Cleaning</t>
  </si>
  <si>
    <t>Removing duplicate data</t>
  </si>
  <si>
    <t xml:space="preserve"> Handling missing data</t>
  </si>
  <si>
    <t xml:space="preserve"> Correcting inconsistent data</t>
  </si>
  <si>
    <t xml:space="preserve"> Text-to-columns and Flash Fill</t>
  </si>
  <si>
    <t>DATA CLEANING:</t>
  </si>
  <si>
    <t>MISSING VALUE COUNT</t>
  </si>
  <si>
    <t>COUNTBLANK</t>
  </si>
  <si>
    <t>ISBLANK</t>
  </si>
  <si>
    <t xml:space="preserve">MISSING VALUE CHECK </t>
  </si>
  <si>
    <t>MISSING VALUE HANDLE</t>
  </si>
  <si>
    <t>IMPUTATION</t>
  </si>
  <si>
    <t>METHODS</t>
  </si>
  <si>
    <t>PROBLEM</t>
  </si>
  <si>
    <t>Numerical Column</t>
  </si>
  <si>
    <t>Categorical Column</t>
  </si>
  <si>
    <t>Mean, Median</t>
  </si>
  <si>
    <t>Mode ( Most Frequent Category)</t>
  </si>
  <si>
    <t>DELETE</t>
  </si>
  <si>
    <t>IF(ISBLANCK(),"Unkno",A2), IF(ISBLANCK(),AVERAGE(),A2)</t>
  </si>
  <si>
    <t>CustomerID</t>
  </si>
  <si>
    <t>CustomerName</t>
  </si>
  <si>
    <t>Gender</t>
  </si>
  <si>
    <t>Age</t>
  </si>
  <si>
    <t xml:space="preserve"> Adithya Singh</t>
  </si>
  <si>
    <t>Female</t>
  </si>
  <si>
    <t xml:space="preserve">Maria Singh  </t>
  </si>
  <si>
    <t>F</t>
  </si>
  <si>
    <t xml:space="preserve"> Divya Khan  </t>
  </si>
  <si>
    <t>M</t>
  </si>
  <si>
    <t>Kumar Khan</t>
  </si>
  <si>
    <t>male</t>
  </si>
  <si>
    <t>Adithya Patel</t>
  </si>
  <si>
    <t xml:space="preserve"> Priya Menon</t>
  </si>
  <si>
    <t xml:space="preserve">Maria Menon  </t>
  </si>
  <si>
    <t xml:space="preserve"> Aisha Sharma</t>
  </si>
  <si>
    <t xml:space="preserve">Divya Thomas  </t>
  </si>
  <si>
    <t>Adithya Khan</t>
  </si>
  <si>
    <t>Vikram Khan</t>
  </si>
  <si>
    <t xml:space="preserve">Sneha Khan  </t>
  </si>
  <si>
    <t xml:space="preserve"> Divya Sharma</t>
  </si>
  <si>
    <t xml:space="preserve"> Maria Patel</t>
  </si>
  <si>
    <t>female</t>
  </si>
  <si>
    <t>Sneha Thomas</t>
  </si>
  <si>
    <t>Maria Sharma</t>
  </si>
  <si>
    <t>Male</t>
  </si>
  <si>
    <t xml:space="preserve">Rahul Thomas  </t>
  </si>
  <si>
    <t>Kumar Nair</t>
  </si>
  <si>
    <t xml:space="preserve"> Aisha Iyer</t>
  </si>
  <si>
    <t>Femle</t>
  </si>
  <si>
    <t xml:space="preserve"> Rahul Nair</t>
  </si>
  <si>
    <t>Aisha Singh</t>
  </si>
  <si>
    <t>Sneha Das</t>
  </si>
  <si>
    <t xml:space="preserve"> Kumar Sharma</t>
  </si>
  <si>
    <t xml:space="preserve"> Maria Sharma</t>
  </si>
  <si>
    <t xml:space="preserve"> Sneha Iyer</t>
  </si>
  <si>
    <t xml:space="preserve">John Patel  </t>
  </si>
  <si>
    <t xml:space="preserve"> Kumar Sharma  </t>
  </si>
  <si>
    <t>Vikram Nair</t>
  </si>
  <si>
    <t xml:space="preserve"> Divya Singh</t>
  </si>
  <si>
    <t xml:space="preserve">Aisha Sharma  </t>
  </si>
  <si>
    <t xml:space="preserve"> Priya Iyer</t>
  </si>
  <si>
    <t xml:space="preserve"> Vikram Nair</t>
  </si>
  <si>
    <t>Aisha Reddy</t>
  </si>
  <si>
    <t>Maria Khan</t>
  </si>
  <si>
    <t xml:space="preserve"> Divya Patel</t>
  </si>
  <si>
    <t>Kumar Menon</t>
  </si>
  <si>
    <t xml:space="preserve"> Priya Das</t>
  </si>
  <si>
    <t xml:space="preserve"> Kumar Singh</t>
  </si>
  <si>
    <t>Vikram Reddy</t>
  </si>
  <si>
    <t xml:space="preserve"> Sneha Thomas</t>
  </si>
  <si>
    <t>John Thomas</t>
  </si>
  <si>
    <t xml:space="preserve"> Priya Patel</t>
  </si>
  <si>
    <t xml:space="preserve">Sneha Singh  </t>
  </si>
  <si>
    <t xml:space="preserve">Priya Sharma  </t>
  </si>
  <si>
    <t>Adithya Thomas</t>
  </si>
  <si>
    <t xml:space="preserve"> Adithya Reddy</t>
  </si>
  <si>
    <t xml:space="preserve">Priya Singh  </t>
  </si>
  <si>
    <t xml:space="preserve"> Priya Khan</t>
  </si>
  <si>
    <t>John Nair</t>
  </si>
  <si>
    <t xml:space="preserve"> Vikram Iyer</t>
  </si>
  <si>
    <t>Divya Nair</t>
  </si>
  <si>
    <t>Vikram Das</t>
  </si>
  <si>
    <t>Priya Patel</t>
  </si>
  <si>
    <t xml:space="preserve">Kumar Menon  </t>
  </si>
  <si>
    <t xml:space="preserve">Aisha Menon  </t>
  </si>
  <si>
    <t xml:space="preserve">Vikram Iyer  </t>
  </si>
  <si>
    <t xml:space="preserve">Divya Patel  </t>
  </si>
  <si>
    <t xml:space="preserve"> Sneha Das  </t>
  </si>
  <si>
    <t xml:space="preserve"> Aisha Khan</t>
  </si>
  <si>
    <t>Rahul Reddy</t>
  </si>
  <si>
    <t xml:space="preserve"> Aisha Nair</t>
  </si>
  <si>
    <t>Priya Singh</t>
  </si>
  <si>
    <t xml:space="preserve"> Kumar Thomas</t>
  </si>
  <si>
    <t xml:space="preserve">Adithya Iyer  </t>
  </si>
  <si>
    <t xml:space="preserve"> John Thomas  </t>
  </si>
  <si>
    <t xml:space="preserve"> Sneha Singh</t>
  </si>
  <si>
    <t>Rahul Iyer</t>
  </si>
  <si>
    <t xml:space="preserve"> Divya Menon  </t>
  </si>
  <si>
    <t xml:space="preserve"> Maria Singh</t>
  </si>
  <si>
    <t>Adithya Reddy</t>
  </si>
  <si>
    <t>Sneha Nair</t>
  </si>
  <si>
    <t>John Patel</t>
  </si>
  <si>
    <t>Aisha Patel</t>
  </si>
  <si>
    <t xml:space="preserve">Aisha Iyer  </t>
  </si>
  <si>
    <t xml:space="preserve"> Vikram Patel</t>
  </si>
  <si>
    <t xml:space="preserve"> Vikram Singh</t>
  </si>
  <si>
    <t xml:space="preserve"> Vikram Khan</t>
  </si>
  <si>
    <t xml:space="preserve">Adithya Reddy  </t>
  </si>
  <si>
    <t>Divya Menon</t>
  </si>
  <si>
    <t xml:space="preserve"> Vikram Das</t>
  </si>
  <si>
    <t>Rahul Thomas</t>
  </si>
  <si>
    <t>debit</t>
  </si>
  <si>
    <t>credit</t>
  </si>
  <si>
    <t>cash</t>
  </si>
  <si>
    <t>Purchase mode</t>
  </si>
  <si>
    <t xml:space="preserve">                                                                                                             Remove Duplicate</t>
  </si>
  <si>
    <t>✅</t>
  </si>
  <si>
    <t>Customer Name</t>
  </si>
  <si>
    <t>Email ID</t>
  </si>
  <si>
    <t>City</t>
  </si>
  <si>
    <t>Bob</t>
  </si>
  <si>
    <t>bob3@example.com</t>
  </si>
  <si>
    <t>Chicago</t>
  </si>
  <si>
    <t>bob9@example.com</t>
  </si>
  <si>
    <t>Phoenix</t>
  </si>
  <si>
    <t>Alice</t>
  </si>
  <si>
    <t>alice2@example.com</t>
  </si>
  <si>
    <t>Los Angeles</t>
  </si>
  <si>
    <t>Noah</t>
  </si>
  <si>
    <t>noah35@example.com</t>
  </si>
  <si>
    <t>Emma</t>
  </si>
  <si>
    <t>emma16@example.com</t>
  </si>
  <si>
    <t>Houston</t>
  </si>
  <si>
    <t>David</t>
  </si>
  <si>
    <t>david4@example.com</t>
  </si>
  <si>
    <t>Ava</t>
  </si>
  <si>
    <t>ava20@example.com</t>
  </si>
  <si>
    <t>New York</t>
  </si>
  <si>
    <t>Sophia</t>
  </si>
  <si>
    <t>sophia5@example.com</t>
  </si>
  <si>
    <t>Liam</t>
  </si>
  <si>
    <t>liam36@example.com</t>
  </si>
  <si>
    <t>Dallas</t>
  </si>
  <si>
    <t>alice13@example.com</t>
  </si>
  <si>
    <t>noah5@example.com</t>
  </si>
  <si>
    <t>noah8@example.com</t>
  </si>
  <si>
    <t>San Jose</t>
  </si>
  <si>
    <t>Olivia</t>
  </si>
  <si>
    <t>olivia15@example.com</t>
  </si>
  <si>
    <t>olivia9@example.com</t>
  </si>
  <si>
    <t>Austin</t>
  </si>
  <si>
    <t>olivia39@example.com</t>
  </si>
  <si>
    <t>alice7@example.com</t>
  </si>
  <si>
    <t>John</t>
  </si>
  <si>
    <t>john1@example.com</t>
  </si>
  <si>
    <t>sophia24@example.com</t>
  </si>
  <si>
    <t>noah18@example.com</t>
  </si>
  <si>
    <t>San Diego</t>
  </si>
  <si>
    <t>emma31@example.com</t>
  </si>
  <si>
    <t>noah33@example.com</t>
  </si>
  <si>
    <t>emma49@example.com</t>
  </si>
  <si>
    <t>emma27@example.com</t>
  </si>
  <si>
    <t>bob40@example.com</t>
  </si>
  <si>
    <t>john43@example.com</t>
  </si>
  <si>
    <t>olivia29@example.com</t>
  </si>
  <si>
    <t>alice6@example.com</t>
  </si>
  <si>
    <t>alice5@example.com</t>
  </si>
  <si>
    <t>ava29@example.com</t>
  </si>
  <si>
    <t>david31@example.com</t>
  </si>
  <si>
    <t>bob34@example.com</t>
  </si>
  <si>
    <t>sophia23@example.com</t>
  </si>
  <si>
    <t>Jacksonville</t>
  </si>
  <si>
    <t>john46@example.com</t>
  </si>
  <si>
    <t>alice40@example.com</t>
  </si>
  <si>
    <t>sophia26@example.com</t>
  </si>
  <si>
    <t>bob46@example.com</t>
  </si>
  <si>
    <t>ava34@example.com</t>
  </si>
  <si>
    <t>david19@example.com</t>
  </si>
  <si>
    <t>olivia50@example.com</t>
  </si>
  <si>
    <t>sophia1@example.com</t>
  </si>
  <si>
    <t>bob33@example.com</t>
  </si>
  <si>
    <t>emma13@example.com</t>
  </si>
  <si>
    <t>ava15@example.com</t>
  </si>
  <si>
    <t>john4@example.com</t>
  </si>
  <si>
    <t>liam44@example.com</t>
  </si>
  <si>
    <t>alice38@example.com</t>
  </si>
  <si>
    <t>emma24@example.com</t>
  </si>
  <si>
    <t>david3@example.com</t>
  </si>
  <si>
    <t>emma9@example.com</t>
  </si>
  <si>
    <t>john8@example.com</t>
  </si>
  <si>
    <t>sophia43@example.com</t>
  </si>
  <si>
    <t>alice14@example.com</t>
  </si>
  <si>
    <t>ava24@example.com</t>
  </si>
  <si>
    <t>liam48@example.com</t>
  </si>
  <si>
    <t>david11@example.com</t>
  </si>
  <si>
    <t>ava32@example.com</t>
  </si>
  <si>
    <t>olivia7@example.com</t>
  </si>
  <si>
    <t>sophia3@example.com</t>
  </si>
  <si>
    <t>olivia24@example.com</t>
  </si>
  <si>
    <t>john11@example.com</t>
  </si>
  <si>
    <t>john37@example.com</t>
  </si>
  <si>
    <t>sophia9@example.com</t>
  </si>
  <si>
    <t>ava36@example.com</t>
  </si>
  <si>
    <t>olivia46@example.com</t>
  </si>
  <si>
    <t>david20@example.com</t>
  </si>
  <si>
    <t>bob44@example.com</t>
  </si>
  <si>
    <t>john47@example.com</t>
  </si>
  <si>
    <t>david37@example.com</t>
  </si>
  <si>
    <t>alice24@example.com</t>
  </si>
  <si>
    <t>alice26@example.com</t>
  </si>
  <si>
    <t>liam18@example.com</t>
  </si>
  <si>
    <t>ava5@example.com</t>
  </si>
  <si>
    <t>alice10@example.com</t>
  </si>
  <si>
    <t>john9@example.com</t>
  </si>
  <si>
    <t>liam16@example.com</t>
  </si>
  <si>
    <t>noah16@example.com</t>
  </si>
  <si>
    <t>olivia13@example.com</t>
  </si>
  <si>
    <t>sophia27@example.com</t>
  </si>
  <si>
    <t>noah27@example.com</t>
  </si>
  <si>
    <t>noah17@example.com</t>
  </si>
  <si>
    <t>liam24@example.com</t>
  </si>
  <si>
    <t>noah25@example.com</t>
  </si>
  <si>
    <t>liam43@example.com</t>
  </si>
  <si>
    <t>sophia35@example.com</t>
  </si>
  <si>
    <t>noah2@example.com</t>
  </si>
  <si>
    <t>bob32@example.com</t>
  </si>
  <si>
    <t>liam23@example.com</t>
  </si>
  <si>
    <t>alice8@example.com</t>
  </si>
  <si>
    <t>bob26@example.com</t>
  </si>
  <si>
    <t>david38@example.com</t>
  </si>
  <si>
    <t>ava25@example.com</t>
  </si>
  <si>
    <t>liam25@example.com</t>
  </si>
  <si>
    <t>emma29@example.com</t>
  </si>
  <si>
    <t>emma44@example.com</t>
  </si>
  <si>
    <t>alice1@example.com</t>
  </si>
  <si>
    <t>noah20@example.com</t>
  </si>
  <si>
    <t>emma3@example.com</t>
  </si>
  <si>
    <t>bob47@example.com</t>
  </si>
  <si>
    <t>bob20@example.com</t>
  </si>
  <si>
    <t>ava48@example.com</t>
  </si>
  <si>
    <t>david43@example.com</t>
  </si>
  <si>
    <t>alice21@example.com</t>
  </si>
  <si>
    <t>john14@example.com</t>
  </si>
  <si>
    <t>sophia28@example.com</t>
  </si>
  <si>
    <t>liam39@example.com</t>
  </si>
  <si>
    <t>bob15@example.com</t>
  </si>
  <si>
    <t>john42@example.com</t>
  </si>
  <si>
    <t>bob4@example.com</t>
  </si>
  <si>
    <t>sophia20@example.com</t>
  </si>
  <si>
    <t>bob7@example.com</t>
  </si>
  <si>
    <t>emma26@example.com</t>
  </si>
  <si>
    <t>liam17@example.com</t>
  </si>
  <si>
    <t>bob50@example.com</t>
  </si>
  <si>
    <t>liam3@example.com</t>
  </si>
  <si>
    <t>noah4@example.com</t>
  </si>
  <si>
    <t>olivia1@example.com</t>
  </si>
  <si>
    <t>bob14@example.com</t>
  </si>
  <si>
    <t>david26@example.com</t>
  </si>
  <si>
    <t>bob2@example.com</t>
  </si>
  <si>
    <t>olivia14@example.com</t>
  </si>
  <si>
    <t>john12@example.com</t>
  </si>
  <si>
    <t>david40@example.com</t>
  </si>
  <si>
    <t>david8@example.com</t>
  </si>
  <si>
    <t>olivia32@example.com</t>
  </si>
  <si>
    <t>liam34@example.com</t>
  </si>
  <si>
    <t>emma21@example.com</t>
  </si>
  <si>
    <t>john44@example.com</t>
  </si>
  <si>
    <t>sophia50@example.com</t>
  </si>
  <si>
    <t>olivia18@example.com</t>
  </si>
  <si>
    <t>ava44@example.com</t>
  </si>
  <si>
    <t>john28@example.com</t>
  </si>
  <si>
    <t>emma18@example.com</t>
  </si>
  <si>
    <t>liam1@example.com</t>
  </si>
  <si>
    <t>sophia37@example.com</t>
  </si>
  <si>
    <t>david36@example.com</t>
  </si>
  <si>
    <t>david18@example.com</t>
  </si>
  <si>
    <t>john38@example.com</t>
  </si>
  <si>
    <t>noah7@example.com</t>
  </si>
  <si>
    <t>emma30@example.com</t>
  </si>
  <si>
    <t>liam45@example.com</t>
  </si>
  <si>
    <t>sophia19@example.com</t>
  </si>
  <si>
    <t>bob36@example.com</t>
  </si>
  <si>
    <t>emma41@example.com</t>
  </si>
  <si>
    <t>noah12@example.com</t>
  </si>
  <si>
    <t>liam33@example.com</t>
  </si>
  <si>
    <t>olivia11@example.com</t>
  </si>
  <si>
    <t>sophia16@example.com</t>
  </si>
  <si>
    <t>ava3@example.com</t>
  </si>
  <si>
    <t>emma50@example.com</t>
  </si>
  <si>
    <t>sophia11@example.com</t>
  </si>
  <si>
    <t>bob16@example.com</t>
  </si>
  <si>
    <t>sophia33@example.com</t>
  </si>
  <si>
    <t>noah42@example.com</t>
  </si>
  <si>
    <t>alice30@example.com</t>
  </si>
  <si>
    <t>bob5@example.com</t>
  </si>
  <si>
    <t>john24@example.com</t>
  </si>
  <si>
    <t>emma15@example.com</t>
  </si>
  <si>
    <t>emma45@example.com</t>
  </si>
  <si>
    <t>liam5@example.com</t>
  </si>
  <si>
    <t>john19@example.com</t>
  </si>
  <si>
    <t>liam47@example.com</t>
  </si>
  <si>
    <t>bob41@example.com</t>
  </si>
  <si>
    <t>sophia38@example.com</t>
  </si>
  <si>
    <t>liam19@example.com</t>
  </si>
  <si>
    <t>sophia21@example.com</t>
  </si>
  <si>
    <t>olivia44@example.com</t>
  </si>
  <si>
    <t>bob11@example.com</t>
  </si>
  <si>
    <t>emma19@example.com</t>
  </si>
  <si>
    <t>olivia22@example.com</t>
  </si>
  <si>
    <t>john30@example.com</t>
  </si>
  <si>
    <t>olivia48@example.com</t>
  </si>
  <si>
    <t>bob18@example.com</t>
  </si>
  <si>
    <t>emma17@example.com</t>
  </si>
  <si>
    <t>john32@example.com</t>
  </si>
  <si>
    <t>liam46@example.com</t>
  </si>
  <si>
    <t>john35@example.com</t>
  </si>
  <si>
    <t>sophia47@example.com</t>
  </si>
  <si>
    <t>john50@example.com</t>
  </si>
  <si>
    <t>noah34@example.com</t>
  </si>
  <si>
    <t>liam10@example.com</t>
  </si>
  <si>
    <t>olivia34@example.com</t>
  </si>
  <si>
    <t>noah6@example.com</t>
  </si>
  <si>
    <t>bob31@example.com</t>
  </si>
  <si>
    <t>emma46@example.com</t>
  </si>
  <si>
    <t>john7@example.com</t>
  </si>
  <si>
    <t>ava45@example.com</t>
  </si>
  <si>
    <t>olivia40@example.com</t>
  </si>
  <si>
    <t>olivia49@example.com</t>
  </si>
  <si>
    <t>sophia30@example.com</t>
  </si>
  <si>
    <t>emma48@example.com</t>
  </si>
  <si>
    <t>bob38@example.com</t>
  </si>
  <si>
    <t>ava37@example.com</t>
  </si>
  <si>
    <t>olivia6@example.com</t>
  </si>
  <si>
    <t>alice22@example.com</t>
  </si>
  <si>
    <t>liam22@example.com</t>
  </si>
  <si>
    <t>sophia2@example.com</t>
  </si>
  <si>
    <t>john3@example.com</t>
  </si>
  <si>
    <t>emma8@example.com</t>
  </si>
  <si>
    <t>bob13@example.com</t>
  </si>
  <si>
    <t>noah49@example.com</t>
  </si>
  <si>
    <t>david5@example.com</t>
  </si>
  <si>
    <t>ava2@example.com</t>
  </si>
  <si>
    <t>alice41@example.com</t>
  </si>
  <si>
    <t>alice33@example.com</t>
  </si>
  <si>
    <t>sophia44@example.com</t>
  </si>
  <si>
    <t>liam29@example.com</t>
  </si>
  <si>
    <t>noah40@example.com</t>
  </si>
  <si>
    <t>david42@example.com</t>
  </si>
  <si>
    <t>noah19@example.com</t>
  </si>
  <si>
    <t>olivia36@example.com</t>
  </si>
  <si>
    <t>olivia45@example.com</t>
  </si>
  <si>
    <t>sophia34@example.com</t>
  </si>
  <si>
    <t>john34@example.com</t>
  </si>
  <si>
    <t>john21@example.com</t>
  </si>
  <si>
    <t>ava28@example.com</t>
  </si>
  <si>
    <t>ava9@example.com</t>
  </si>
  <si>
    <t>noah22@example.com</t>
  </si>
  <si>
    <t>sophia49@example.com</t>
  </si>
  <si>
    <t>olivia37@example.com</t>
  </si>
  <si>
    <t>david9@example.com</t>
  </si>
  <si>
    <t>emma39@example.com</t>
  </si>
  <si>
    <t>noah48@example.com</t>
  </si>
  <si>
    <t>sophia22@example.com</t>
  </si>
  <si>
    <t>ava47@example.com</t>
  </si>
  <si>
    <t>david41@example.com</t>
  </si>
  <si>
    <t>alice4@example.com</t>
  </si>
  <si>
    <t>alice48@example.com</t>
  </si>
  <si>
    <t>olivia26@example.com</t>
  </si>
  <si>
    <t>alice29@example.com</t>
  </si>
  <si>
    <t>noah23@example.com</t>
  </si>
  <si>
    <t>ava11@example.com</t>
  </si>
  <si>
    <t>alice16@example.com</t>
  </si>
  <si>
    <t>ava31@example.com</t>
  </si>
  <si>
    <t>ava27@example.com</t>
  </si>
  <si>
    <t>ava10@example.com</t>
  </si>
  <si>
    <t>john6@example.com</t>
  </si>
  <si>
    <t>bob48@example.com</t>
  </si>
  <si>
    <t>noah9@example.com</t>
  </si>
  <si>
    <t>olivia2@example.com</t>
  </si>
  <si>
    <t>sophia41@example.com</t>
  </si>
  <si>
    <t>bob23@example.com</t>
  </si>
  <si>
    <t>ava42@example.com</t>
  </si>
  <si>
    <t>alice44@example.com</t>
  </si>
  <si>
    <t>ava46@example.com</t>
  </si>
  <si>
    <t>emma14@example.com</t>
  </si>
  <si>
    <t>emma25@example.com</t>
  </si>
  <si>
    <t>emma6@example.com</t>
  </si>
  <si>
    <t>alice34@example.com</t>
  </si>
  <si>
    <t>john10@example.com</t>
  </si>
  <si>
    <t>liam38@example.com</t>
  </si>
  <si>
    <t>noah14@example.com</t>
  </si>
  <si>
    <t>sophia39@example.com</t>
  </si>
  <si>
    <t>ava35@example.com</t>
  </si>
  <si>
    <t>ava26@example.com</t>
  </si>
  <si>
    <t>emma23@example.com</t>
  </si>
  <si>
    <t>noah30@example.com</t>
  </si>
  <si>
    <t>liam41@example.com</t>
  </si>
  <si>
    <t>john18@example.com</t>
  </si>
  <si>
    <t>noah31@example.com</t>
  </si>
  <si>
    <t>ava22@example.com</t>
  </si>
  <si>
    <t>emma35@example.com</t>
  </si>
  <si>
    <t>liam40@example.com</t>
  </si>
  <si>
    <t>noah43@example.com</t>
  </si>
  <si>
    <t>david21@example.com</t>
  </si>
  <si>
    <t>david44@example.com</t>
  </si>
  <si>
    <t>alice25@example.com</t>
  </si>
  <si>
    <t>noah29@example.com</t>
  </si>
  <si>
    <t>alice20@example.com</t>
  </si>
  <si>
    <t>olivia23@example.com</t>
  </si>
  <si>
    <t>emma38@example.com</t>
  </si>
  <si>
    <t>alice28@example.com</t>
  </si>
  <si>
    <t>alice46@example.com</t>
  </si>
  <si>
    <t>emma2@example.com</t>
  </si>
  <si>
    <t>sophia46@example.com</t>
  </si>
  <si>
    <t>emma32@example.com</t>
  </si>
  <si>
    <t>david33@example.com</t>
  </si>
  <si>
    <t>liam49@example.com</t>
  </si>
  <si>
    <t>john39@example.com</t>
  </si>
  <si>
    <t>olivia21@example.com</t>
  </si>
  <si>
    <t>emma40@example.com</t>
  </si>
  <si>
    <t>noah24@example.com</t>
  </si>
  <si>
    <t>bob25@example.com</t>
  </si>
  <si>
    <t>ava49@example.com</t>
  </si>
  <si>
    <t>sophia36@example.com</t>
  </si>
  <si>
    <t>alice18@example.com</t>
  </si>
  <si>
    <t>olivia27@example.com</t>
  </si>
  <si>
    <t>olivia35@example.com</t>
  </si>
  <si>
    <t>john26@example.com</t>
  </si>
  <si>
    <t>john45@example.com</t>
  </si>
  <si>
    <t>olivia41@example.com</t>
  </si>
  <si>
    <t>sophia14@example.com</t>
  </si>
  <si>
    <t>liam37@example.com</t>
  </si>
  <si>
    <t>bob17@example.com</t>
  </si>
  <si>
    <t>liam6@example.com</t>
  </si>
  <si>
    <t>emma5@example.com</t>
  </si>
  <si>
    <t>liam30@example.com</t>
  </si>
  <si>
    <t>liam42@example.com</t>
  </si>
  <si>
    <t>liam21@example.com</t>
  </si>
  <si>
    <t>liam12@example.com</t>
  </si>
  <si>
    <t>noah3@example.com</t>
  </si>
  <si>
    <t>bob1@example.com</t>
  </si>
  <si>
    <t>liam2@example.com</t>
  </si>
  <si>
    <t>ava14@example.com</t>
  </si>
  <si>
    <t>emma7@example.com</t>
  </si>
  <si>
    <t>noah39@example.com</t>
  </si>
  <si>
    <t>john48@example.com</t>
  </si>
  <si>
    <t>john23@example.com</t>
  </si>
  <si>
    <t>olivia20@example.com</t>
  </si>
  <si>
    <t>john25@example.com</t>
  </si>
  <si>
    <t>noah21@example.com</t>
  </si>
  <si>
    <t>david1@example.com</t>
  </si>
  <si>
    <t>bob37@example.com</t>
  </si>
  <si>
    <t>liam15@example.com</t>
  </si>
  <si>
    <t>bob19@example.com</t>
  </si>
  <si>
    <t>david34@example.com</t>
  </si>
  <si>
    <t>emma12@example.com</t>
  </si>
  <si>
    <t>sophia15@example.com</t>
  </si>
  <si>
    <t xml:space="preserve">                                                                                                                  Text to Column</t>
  </si>
  <si>
    <t>Data</t>
  </si>
  <si>
    <t xml:space="preserve">                                                                                                                  Flash Fill</t>
  </si>
  <si>
    <t>Flash Fill( cntrl+E)</t>
  </si>
  <si>
    <t>George,Brown,28</t>
  </si>
  <si>
    <t>Olivia,Smith,16</t>
  </si>
  <si>
    <t>Oscar,Brown,21</t>
  </si>
  <si>
    <t>Thomas,White,17</t>
  </si>
  <si>
    <t>Emily,Miller,16</t>
  </si>
  <si>
    <t>Sophie,Turner,22</t>
  </si>
  <si>
    <t>Chris,Nolan,25</t>
  </si>
  <si>
    <t>Mark,Davis,14</t>
  </si>
  <si>
    <t>Madison,Johnson,19</t>
  </si>
  <si>
    <t>Laura,Williams,23</t>
  </si>
  <si>
    <t>Column1</t>
  </si>
  <si>
    <t>Column2</t>
  </si>
  <si>
    <t>Oscar</t>
  </si>
  <si>
    <t xml:space="preserve"> Brown</t>
  </si>
  <si>
    <t>Thomas</t>
  </si>
  <si>
    <t xml:space="preserve"> White</t>
  </si>
  <si>
    <t>Emily</t>
  </si>
  <si>
    <t xml:space="preserve"> Miller</t>
  </si>
  <si>
    <t>Sophie</t>
  </si>
  <si>
    <t xml:space="preserve"> Turner</t>
  </si>
  <si>
    <t>Chris</t>
  </si>
  <si>
    <t xml:space="preserve"> Nolan</t>
  </si>
  <si>
    <t>Mark</t>
  </si>
  <si>
    <t xml:space="preserve"> Davis</t>
  </si>
  <si>
    <t>Madison</t>
  </si>
  <si>
    <t xml:space="preserve"> Johnson</t>
  </si>
  <si>
    <t>Laura</t>
  </si>
  <si>
    <t xml:space="preserve"> Williams</t>
  </si>
  <si>
    <t>Brown</t>
  </si>
  <si>
    <t>Smith</t>
  </si>
  <si>
    <t>White</t>
  </si>
  <si>
    <t>Miller</t>
  </si>
  <si>
    <t>Turner</t>
  </si>
  <si>
    <t>Nolan</t>
  </si>
  <si>
    <t>Davis</t>
  </si>
  <si>
    <t>Johnson</t>
  </si>
  <si>
    <t>Williams</t>
  </si>
  <si>
    <t>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</si>
</sst>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/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0" fillId="3" borderId="0" xfId="0" applyFill="1"/>
    <xf numFmtId="0" fontId="0" fillId="0" borderId="0" xfId="0" applyAlignment="1">
      <alignment horizontal="center"/>
    </xf>
    <xf numFmtId="0" fontId="0" fillId="3" borderId="1" xfId="0" applyFill="1" applyBorder="1"/>
    <xf numFmtId="0" fontId="0" fillId="0" borderId="6" xfId="0" applyBorder="1"/>
    <xf numFmtId="0" fontId="4" fillId="0" borderId="0" xfId="0" applyFont="1"/>
    <xf numFmtId="0" fontId="0" fillId="0" borderId="0" xfId="0"/>
  </cellXfs>
  <cellStyles count="2">
    <cellStyle name="Hyperlink" xfId="1" builtinId="8"/>
    <cellStyle name="Normal" xfId="0" builtinId="0"/>
  </cellStyles>
  <dxfs count="10"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</xdr:row>
      <xdr:rowOff>38100</xdr:rowOff>
    </xdr:from>
    <xdr:to>
      <xdr:col>16</xdr:col>
      <xdr:colOff>200025</xdr:colOff>
      <xdr:row>16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4910EF-5B40-2AC7-30D7-5C546C771A1A}"/>
            </a:ext>
          </a:extLst>
        </xdr:cNvPr>
        <xdr:cNvSpPr txBox="1"/>
      </xdr:nvSpPr>
      <xdr:spPr>
        <a:xfrm>
          <a:off x="771525" y="228600"/>
          <a:ext cx="9182100" cy="2905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🧹 What is Data Cleaning in Data Analysis?</a:t>
          </a:r>
        </a:p>
        <a:p>
          <a:endParaRPr lang="en-IN" b="1"/>
        </a:p>
        <a:p>
          <a:r>
            <a:rPr lang="en-IN" b="1"/>
            <a:t>Data cleaning</a:t>
          </a:r>
          <a:r>
            <a:rPr lang="en-IN"/>
            <a:t> (or data preprocessing) is the process of </a:t>
          </a:r>
          <a:r>
            <a:rPr lang="en-IN" b="1"/>
            <a:t>identifying and fixing errors, inconsistencies, and inaccuracies in raw data</a:t>
          </a:r>
          <a:r>
            <a:rPr lang="en-IN"/>
            <a:t> before analysis.</a:t>
          </a:r>
        </a:p>
        <a:p>
          <a:endParaRPr lang="en-IN" b="1"/>
        </a:p>
        <a:p>
          <a:r>
            <a:rPr lang="en-IN" b="1"/>
            <a:t>What kind of problems does it fix?</a:t>
          </a:r>
        </a:p>
        <a:p>
          <a:r>
            <a:rPr lang="en-IN"/>
            <a:t>Missing values (empty cells) </a:t>
          </a:r>
        </a:p>
        <a:p>
          <a:r>
            <a:rPr lang="en-IN"/>
            <a:t>Duplicate records </a:t>
          </a:r>
        </a:p>
        <a:p>
          <a:r>
            <a:rPr lang="en-IN"/>
            <a:t>Wrong data types (e.g., text instead of numbers) </a:t>
          </a:r>
        </a:p>
        <a:p>
          <a:r>
            <a:rPr lang="en-IN"/>
            <a:t>Inconsistent formats (e.g.,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01-01-2024</a:t>
          </a:r>
          <a:r>
            <a:rPr lang="en-IN"/>
            <a:t> vs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1 Jan 2024, Female,</a:t>
          </a:r>
          <a:r>
            <a:rPr lang="en-IN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F, Male, M</a:t>
          </a:r>
          <a:r>
            <a:rPr lang="en-IN"/>
            <a:t>) </a:t>
          </a:r>
        </a:p>
        <a:p>
          <a:r>
            <a:rPr lang="en-IN"/>
            <a:t>Spelling mistakes / inconsistent categories (e.g., </a:t>
          </a:r>
          <a:r>
            <a:rPr lang="en-IN" i="1"/>
            <a:t>Kerala</a:t>
          </a:r>
          <a:r>
            <a:rPr lang="en-IN"/>
            <a:t>, </a:t>
          </a:r>
          <a:r>
            <a:rPr lang="en-IN" i="1"/>
            <a:t>kerla</a:t>
          </a:r>
          <a:r>
            <a:rPr lang="en-IN"/>
            <a:t>, </a:t>
          </a:r>
          <a:r>
            <a:rPr lang="en-IN" i="1"/>
            <a:t>KERALA</a:t>
          </a:r>
          <a:r>
            <a:rPr lang="en-IN"/>
            <a:t>)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333375</xdr:colOff>
      <xdr:row>0</xdr:row>
      <xdr:rowOff>66675</xdr:rowOff>
    </xdr:from>
    <xdr:to>
      <xdr:col>12</xdr:col>
      <xdr:colOff>543124</xdr:colOff>
      <xdr:row>3</xdr:row>
      <xdr:rowOff>266824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55659B-974B-4611-A1C6-9DB001F0A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0275" y="66675"/>
          <a:ext cx="1428949" cy="885949"/>
        </a:xfrm>
        <a:prstGeom prst="rect">
          <a:avLst/>
        </a:prstGeom>
      </xdr:spPr>
    </xdr:pic>
    <xdr:clientData/>
  </xdr:twoCellAnchor>
  <xdr:twoCellAnchor>
    <xdr:from>
      <xdr:col>11</xdr:col>
      <xdr:colOff>504825</xdr:colOff>
      <xdr:row>1</xdr:row>
      <xdr:rowOff>142875</xdr:rowOff>
    </xdr:from>
    <xdr:to>
      <xdr:col>13</xdr:col>
      <xdr:colOff>123825</xdr:colOff>
      <xdr:row>3</xdr:row>
      <xdr:rowOff>161925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7F15155-A7C0-449D-84AA-09FA2B58BA3C}"/>
            </a:ext>
          </a:extLst>
        </xdr:cNvPr>
        <xdr:cNvCxnSpPr/>
      </xdr:nvCxnSpPr>
      <xdr:spPr>
        <a:xfrm flipH="1" flipV="1">
          <a:off x="10601325" y="438150"/>
          <a:ext cx="838200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Data%20Analysis\Data%20Analysis\2.EXCEL\3.Data%20Cleaning\DATA%20CLEANING1.xlsx" TargetMode="External"/><Relationship Id="rId1" Type="http://schemas.openxmlformats.org/officeDocument/2006/relationships/externalLinkPath" Target="file:///F:\Data%20Analysis\Data%20Analysis\2.EXCEL\3.Data%20Cleaning\DATA%20CLEANING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xt to column"/>
      <sheetName val="Flash Fill"/>
      <sheetName val="Consolidate"/>
      <sheetName val="Remove Duplicate"/>
      <sheetName val="locking headings"/>
      <sheetName val="Merge Tricks"/>
      <sheetName val="copy a formula down"/>
      <sheetName val="Print_The file."/>
      <sheetName val="Table&amp; Range"/>
      <sheetName val="Coping table"/>
      <sheetName val="Serial no. correcting"/>
      <sheetName val="Automatic serial num"/>
      <sheetName val="Combining Excel and word"/>
      <sheetName val="UNIQUE()"/>
      <sheetName val="FILTER()"/>
      <sheetName val="Choose(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E7">
            <v>10</v>
          </cell>
        </row>
        <row r="8">
          <cell r="E8">
            <v>15</v>
          </cell>
        </row>
        <row r="9">
          <cell r="E9">
            <v>1000</v>
          </cell>
        </row>
        <row r="10">
          <cell r="E10">
            <v>2</v>
          </cell>
        </row>
        <row r="11">
          <cell r="E11">
            <v>20</v>
          </cell>
        </row>
        <row r="12">
          <cell r="E12">
            <v>5</v>
          </cell>
        </row>
        <row r="13">
          <cell r="E13">
            <v>10</v>
          </cell>
        </row>
        <row r="14">
          <cell r="E14">
            <v>7</v>
          </cell>
        </row>
        <row r="15">
          <cell r="E15">
            <v>9</v>
          </cell>
        </row>
        <row r="16">
          <cell r="E16">
            <v>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F0A4E8-9E2B-4854-A0AC-AFBC552EF796}" name="Table1" displayName="Table1" ref="C9:I99" totalsRowShown="0" headerRowBorderDxfId="9" tableBorderDxfId="8" totalsRowBorderDxfId="7">
  <autoFilter ref="C9:I99" xr:uid="{DBF0A4E8-9E2B-4854-A0AC-AFBC552EF796}"/>
  <tableColumns count="7">
    <tableColumn id="1" xr3:uid="{7D768600-8921-4B85-AC2E-C45EBED5879D}" name="CustomerID" dataDxfId="6"/>
    <tableColumn id="2" xr3:uid="{4B9A881E-1804-4A64-A767-7DC38062B75D}" name="CustomerName" dataDxfId="5"/>
    <tableColumn id="3" xr3:uid="{6972D8C7-BEA2-47DF-A886-543B513AC0D1}" name="Gender" dataDxfId="4"/>
    <tableColumn id="8" xr3:uid="{A38B96FF-3207-4D9D-B31D-EBE4FADDC38F}" name="Purchase mode" dataDxfId="3"/>
    <tableColumn id="6" xr3:uid="{C9615B9C-4490-47BD-A311-6633239C7C3E}" name="Age" dataDxfId="2"/>
    <tableColumn id="4" xr3:uid="{3CA5C74E-0863-4237-A2B9-94B4B12D03AC}" name="Column1" dataDxfId="1">
      <calculatedColumnFormula>IF(ISBLANK(Table1[[#This Row],[Purchase mode]]),"Unknown",Table1[[#This Row],[Purchase mode]])</calculatedColumnFormula>
    </tableColumn>
    <tableColumn id="5" xr3:uid="{8C00DACA-35B0-4363-82C8-074A1E14B0C1}" name="Column2" dataDxfId="0">
      <calculatedColumnFormula>IF(ISBLANK(Table1[[#This Row],[Purchase mode]]),"cash",Table1[[#This Row],[Purchase mode]])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ob3@example.com" TargetMode="External"/><Relationship Id="rId13" Type="http://schemas.openxmlformats.org/officeDocument/2006/relationships/hyperlink" Target="mailto:bob3@example.com" TargetMode="External"/><Relationship Id="rId3" Type="http://schemas.openxmlformats.org/officeDocument/2006/relationships/hyperlink" Target="mailto:sophia5@example.com" TargetMode="External"/><Relationship Id="rId7" Type="http://schemas.openxmlformats.org/officeDocument/2006/relationships/hyperlink" Target="mailto:bob3@example.com" TargetMode="External"/><Relationship Id="rId12" Type="http://schemas.openxmlformats.org/officeDocument/2006/relationships/hyperlink" Target="mailto:bob3@example.com" TargetMode="External"/><Relationship Id="rId2" Type="http://schemas.openxmlformats.org/officeDocument/2006/relationships/hyperlink" Target="mailto:david4@example.com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mailto:alice2@example.com" TargetMode="External"/><Relationship Id="rId6" Type="http://schemas.openxmlformats.org/officeDocument/2006/relationships/hyperlink" Target="mailto:john1@example.com" TargetMode="External"/><Relationship Id="rId11" Type="http://schemas.openxmlformats.org/officeDocument/2006/relationships/hyperlink" Target="mailto:bob3@example.com" TargetMode="External"/><Relationship Id="rId5" Type="http://schemas.openxmlformats.org/officeDocument/2006/relationships/hyperlink" Target="mailto:noah8@example.com" TargetMode="External"/><Relationship Id="rId15" Type="http://schemas.openxmlformats.org/officeDocument/2006/relationships/hyperlink" Target="mailto:bob3@example.com" TargetMode="External"/><Relationship Id="rId10" Type="http://schemas.openxmlformats.org/officeDocument/2006/relationships/hyperlink" Target="mailto:noah8@example.com" TargetMode="External"/><Relationship Id="rId4" Type="http://schemas.openxmlformats.org/officeDocument/2006/relationships/hyperlink" Target="mailto:olivia9@example.com" TargetMode="External"/><Relationship Id="rId9" Type="http://schemas.openxmlformats.org/officeDocument/2006/relationships/hyperlink" Target="mailto:alice2@example.com" TargetMode="External"/><Relationship Id="rId14" Type="http://schemas.openxmlformats.org/officeDocument/2006/relationships/hyperlink" Target="mailto:bob3@exampl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7FC2-947B-4D68-9F36-E2E9AF24E3BB}">
  <dimension ref="A3:C10"/>
  <sheetViews>
    <sheetView workbookViewId="0">
      <selection activeCell="E13" sqref="E13"/>
    </sheetView>
  </sheetViews>
  <sheetFormatPr defaultRowHeight="14.4" x14ac:dyDescent="0.3"/>
  <cols>
    <col min="2" max="2" width="7.44140625" customWidth="1"/>
    <col min="3" max="3" width="28.5546875" bestFit="1" customWidth="1"/>
  </cols>
  <sheetData>
    <row r="3" spans="1:3" x14ac:dyDescent="0.3">
      <c r="C3" s="1" t="s">
        <v>6</v>
      </c>
    </row>
    <row r="4" spans="1:3" x14ac:dyDescent="0.3">
      <c r="A4" s="1"/>
      <c r="B4" s="1"/>
    </row>
    <row r="5" spans="1:3" x14ac:dyDescent="0.3">
      <c r="A5" s="1"/>
      <c r="B5" s="1">
        <v>1</v>
      </c>
      <c r="C5" s="1" t="s">
        <v>0</v>
      </c>
    </row>
    <row r="6" spans="1:3" x14ac:dyDescent="0.3">
      <c r="A6" s="1"/>
      <c r="B6" s="1">
        <v>2</v>
      </c>
      <c r="C6" s="1" t="s">
        <v>1</v>
      </c>
    </row>
    <row r="7" spans="1:3" x14ac:dyDescent="0.3">
      <c r="A7" s="1"/>
      <c r="B7" s="1">
        <v>3</v>
      </c>
      <c r="C7" s="1" t="s">
        <v>2</v>
      </c>
    </row>
    <row r="8" spans="1:3" x14ac:dyDescent="0.3">
      <c r="A8" s="1"/>
      <c r="B8" s="1">
        <v>4</v>
      </c>
      <c r="C8" s="1" t="s">
        <v>3</v>
      </c>
    </row>
    <row r="9" spans="1:3" x14ac:dyDescent="0.3">
      <c r="A9" s="1"/>
      <c r="B9" s="1">
        <v>5</v>
      </c>
      <c r="C9" s="1" t="s">
        <v>4</v>
      </c>
    </row>
    <row r="10" spans="1:3" x14ac:dyDescent="0.3">
      <c r="A10" s="1"/>
      <c r="B10" s="1">
        <v>6</v>
      </c>
      <c r="C10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C53C-3682-471D-A657-F99FA42CB9A3}">
  <dimension ref="A1"/>
  <sheetViews>
    <sheetView workbookViewId="0">
      <selection activeCell="F15" sqref="F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B792-3D3E-490F-A91B-6AC02EE85B4C}">
  <dimension ref="A1:J478"/>
  <sheetViews>
    <sheetView tabSelected="1" workbookViewId="0">
      <selection activeCell="M21" sqref="M21"/>
    </sheetView>
  </sheetViews>
  <sheetFormatPr defaultRowHeight="14.4" x14ac:dyDescent="0.3"/>
  <cols>
    <col min="3" max="3" width="9.109375" customWidth="1"/>
    <col min="4" max="4" width="20.88671875" customWidth="1"/>
    <col min="5" max="5" width="23.109375" customWidth="1"/>
    <col min="6" max="6" width="11.5546875" bestFit="1" customWidth="1"/>
    <col min="8" max="8" width="15.44140625" bestFit="1" customWidth="1"/>
    <col min="9" max="9" width="23.109375" bestFit="1" customWidth="1"/>
    <col min="10" max="10" width="11.5546875" bestFit="1" customWidth="1"/>
  </cols>
  <sheetData>
    <row r="1" spans="1:10" s="18" customFormat="1" ht="23.4" x14ac:dyDescent="0.45">
      <c r="A1" s="17" t="s">
        <v>117</v>
      </c>
    </row>
    <row r="3" spans="1:10" x14ac:dyDescent="0.3">
      <c r="B3" s="9" t="s">
        <v>118</v>
      </c>
      <c r="G3" s="9" t="s">
        <v>118</v>
      </c>
    </row>
    <row r="4" spans="1:10" ht="28.8" x14ac:dyDescent="0.3">
      <c r="C4" s="10" t="s">
        <v>119</v>
      </c>
      <c r="D4" s="10" t="s">
        <v>120</v>
      </c>
      <c r="E4" s="10" t="s">
        <v>121</v>
      </c>
      <c r="H4" s="3" t="s">
        <v>119</v>
      </c>
      <c r="I4" s="3" t="s">
        <v>120</v>
      </c>
      <c r="J4" s="3" t="s">
        <v>121</v>
      </c>
    </row>
    <row r="5" spans="1:10" x14ac:dyDescent="0.3">
      <c r="C5" s="11" t="s">
        <v>122</v>
      </c>
      <c r="D5" s="12" t="s">
        <v>123</v>
      </c>
      <c r="E5" s="11" t="s">
        <v>124</v>
      </c>
      <c r="H5" s="3" t="s">
        <v>122</v>
      </c>
      <c r="I5" s="3" t="s">
        <v>125</v>
      </c>
      <c r="J5" s="3" t="s">
        <v>126</v>
      </c>
    </row>
    <row r="6" spans="1:10" x14ac:dyDescent="0.3">
      <c r="C6" s="11" t="s">
        <v>127</v>
      </c>
      <c r="D6" s="12" t="s">
        <v>128</v>
      </c>
      <c r="E6" s="11" t="s">
        <v>129</v>
      </c>
      <c r="H6" s="3" t="s">
        <v>130</v>
      </c>
      <c r="I6" s="3" t="s">
        <v>131</v>
      </c>
      <c r="J6" s="3" t="s">
        <v>124</v>
      </c>
    </row>
    <row r="7" spans="1:10" x14ac:dyDescent="0.3">
      <c r="C7" s="11" t="s">
        <v>122</v>
      </c>
      <c r="D7" s="12" t="s">
        <v>123</v>
      </c>
      <c r="E7" s="11" t="s">
        <v>124</v>
      </c>
      <c r="H7" s="3" t="s">
        <v>132</v>
      </c>
      <c r="I7" s="3" t="s">
        <v>133</v>
      </c>
      <c r="J7" s="3" t="s">
        <v>134</v>
      </c>
    </row>
    <row r="8" spans="1:10" x14ac:dyDescent="0.3">
      <c r="C8" s="11" t="s">
        <v>135</v>
      </c>
      <c r="D8" s="12" t="s">
        <v>136</v>
      </c>
      <c r="E8" s="11" t="s">
        <v>134</v>
      </c>
      <c r="H8" s="3" t="s">
        <v>137</v>
      </c>
      <c r="I8" s="3" t="s">
        <v>138</v>
      </c>
      <c r="J8" s="3" t="s">
        <v>139</v>
      </c>
    </row>
    <row r="9" spans="1:10" x14ac:dyDescent="0.3">
      <c r="C9" s="11" t="s">
        <v>140</v>
      </c>
      <c r="D9" s="12" t="s">
        <v>141</v>
      </c>
      <c r="E9" s="11" t="s">
        <v>126</v>
      </c>
      <c r="H9" s="3" t="s">
        <v>142</v>
      </c>
      <c r="I9" s="3" t="s">
        <v>143</v>
      </c>
      <c r="J9" s="3" t="s">
        <v>144</v>
      </c>
    </row>
    <row r="10" spans="1:10" x14ac:dyDescent="0.3">
      <c r="C10" s="11" t="s">
        <v>122</v>
      </c>
      <c r="D10" s="12" t="s">
        <v>123</v>
      </c>
      <c r="E10" s="11" t="s">
        <v>124</v>
      </c>
      <c r="H10" s="3" t="s">
        <v>127</v>
      </c>
      <c r="I10" s="3" t="s">
        <v>145</v>
      </c>
      <c r="J10" s="3" t="s">
        <v>124</v>
      </c>
    </row>
    <row r="11" spans="1:10" x14ac:dyDescent="0.3">
      <c r="C11" s="11" t="s">
        <v>122</v>
      </c>
      <c r="D11" s="12" t="s">
        <v>123</v>
      </c>
      <c r="E11" s="11" t="s">
        <v>124</v>
      </c>
      <c r="H11" s="3" t="s">
        <v>130</v>
      </c>
      <c r="I11" s="3" t="s">
        <v>146</v>
      </c>
      <c r="J11" s="3" t="s">
        <v>129</v>
      </c>
    </row>
    <row r="12" spans="1:10" x14ac:dyDescent="0.3">
      <c r="C12" s="11" t="s">
        <v>130</v>
      </c>
      <c r="D12" s="12" t="s">
        <v>147</v>
      </c>
      <c r="E12" s="11" t="s">
        <v>148</v>
      </c>
      <c r="H12" s="3" t="s">
        <v>149</v>
      </c>
      <c r="I12" s="3" t="s">
        <v>150</v>
      </c>
      <c r="J12" s="3" t="s">
        <v>129</v>
      </c>
    </row>
    <row r="13" spans="1:10" x14ac:dyDescent="0.3">
      <c r="C13" s="11" t="s">
        <v>149</v>
      </c>
      <c r="D13" s="12" t="s">
        <v>151</v>
      </c>
      <c r="E13" s="11" t="s">
        <v>152</v>
      </c>
      <c r="H13" s="3" t="s">
        <v>149</v>
      </c>
      <c r="I13" s="3" t="s">
        <v>153</v>
      </c>
      <c r="J13" s="3" t="s">
        <v>152</v>
      </c>
    </row>
    <row r="14" spans="1:10" x14ac:dyDescent="0.3">
      <c r="C14" s="11" t="s">
        <v>122</v>
      </c>
      <c r="D14" s="12" t="s">
        <v>123</v>
      </c>
      <c r="E14" s="11" t="s">
        <v>124</v>
      </c>
      <c r="H14" s="3" t="s">
        <v>127</v>
      </c>
      <c r="I14" s="3" t="s">
        <v>154</v>
      </c>
      <c r="J14" s="3" t="s">
        <v>148</v>
      </c>
    </row>
    <row r="15" spans="1:10" x14ac:dyDescent="0.3">
      <c r="C15" s="11" t="s">
        <v>155</v>
      </c>
      <c r="D15" s="12" t="s">
        <v>156</v>
      </c>
      <c r="E15" s="11" t="s">
        <v>139</v>
      </c>
      <c r="H15" s="3" t="s">
        <v>140</v>
      </c>
      <c r="I15" s="3" t="s">
        <v>157</v>
      </c>
      <c r="J15" s="3" t="s">
        <v>144</v>
      </c>
    </row>
    <row r="16" spans="1:10" x14ac:dyDescent="0.3">
      <c r="C16" s="11" t="s">
        <v>127</v>
      </c>
      <c r="D16" s="12" t="s">
        <v>128</v>
      </c>
      <c r="E16" s="11" t="s">
        <v>129</v>
      </c>
      <c r="H16" s="3" t="s">
        <v>130</v>
      </c>
      <c r="I16" s="3" t="s">
        <v>158</v>
      </c>
      <c r="J16" s="3" t="s">
        <v>159</v>
      </c>
    </row>
    <row r="17" spans="3:10" x14ac:dyDescent="0.3">
      <c r="C17" s="11" t="s">
        <v>122</v>
      </c>
      <c r="D17" s="12" t="s">
        <v>123</v>
      </c>
      <c r="E17" s="11" t="s">
        <v>124</v>
      </c>
      <c r="H17" s="3" t="s">
        <v>132</v>
      </c>
      <c r="I17" s="3" t="s">
        <v>160</v>
      </c>
      <c r="J17" s="3" t="s">
        <v>134</v>
      </c>
    </row>
    <row r="18" spans="3:10" x14ac:dyDescent="0.3">
      <c r="C18" s="11" t="s">
        <v>122</v>
      </c>
      <c r="D18" s="12" t="s">
        <v>123</v>
      </c>
      <c r="E18" s="11" t="s">
        <v>124</v>
      </c>
      <c r="H18" s="3" t="s">
        <v>130</v>
      </c>
      <c r="I18" s="3" t="s">
        <v>161</v>
      </c>
      <c r="J18" s="3" t="s">
        <v>134</v>
      </c>
    </row>
    <row r="19" spans="3:10" x14ac:dyDescent="0.3">
      <c r="C19" s="11" t="s">
        <v>130</v>
      </c>
      <c r="D19" s="12" t="s">
        <v>147</v>
      </c>
      <c r="E19" s="11" t="s">
        <v>148</v>
      </c>
      <c r="H19" s="3" t="s">
        <v>132</v>
      </c>
      <c r="I19" s="3" t="s">
        <v>162</v>
      </c>
      <c r="J19" s="3" t="s">
        <v>159</v>
      </c>
    </row>
    <row r="20" spans="3:10" x14ac:dyDescent="0.3">
      <c r="H20" s="3" t="s">
        <v>132</v>
      </c>
      <c r="I20" s="3" t="s">
        <v>163</v>
      </c>
      <c r="J20" s="3" t="s">
        <v>134</v>
      </c>
    </row>
    <row r="21" spans="3:10" x14ac:dyDescent="0.3">
      <c r="H21" s="3" t="s">
        <v>122</v>
      </c>
      <c r="I21" s="3" t="s">
        <v>164</v>
      </c>
      <c r="J21" s="3" t="s">
        <v>126</v>
      </c>
    </row>
    <row r="22" spans="3:10" x14ac:dyDescent="0.3">
      <c r="H22" s="3" t="s">
        <v>155</v>
      </c>
      <c r="I22" s="3" t="s">
        <v>165</v>
      </c>
      <c r="J22" s="3" t="s">
        <v>152</v>
      </c>
    </row>
    <row r="23" spans="3:10" x14ac:dyDescent="0.3">
      <c r="H23" s="3" t="s">
        <v>149</v>
      </c>
      <c r="I23" s="3" t="s">
        <v>166</v>
      </c>
      <c r="J23" s="3" t="s">
        <v>126</v>
      </c>
    </row>
    <row r="24" spans="3:10" x14ac:dyDescent="0.3">
      <c r="H24" s="3" t="s">
        <v>127</v>
      </c>
      <c r="I24" s="3" t="s">
        <v>167</v>
      </c>
      <c r="J24" s="3" t="s">
        <v>159</v>
      </c>
    </row>
    <row r="25" spans="3:10" x14ac:dyDescent="0.3">
      <c r="H25" s="3" t="s">
        <v>127</v>
      </c>
      <c r="I25" s="3" t="s">
        <v>168</v>
      </c>
      <c r="J25" s="3" t="s">
        <v>148</v>
      </c>
    </row>
    <row r="26" spans="3:10" x14ac:dyDescent="0.3">
      <c r="H26" s="3" t="s">
        <v>137</v>
      </c>
      <c r="I26" s="3" t="s">
        <v>169</v>
      </c>
      <c r="J26" s="3" t="s">
        <v>134</v>
      </c>
    </row>
    <row r="27" spans="3:10" x14ac:dyDescent="0.3">
      <c r="H27" s="3" t="s">
        <v>135</v>
      </c>
      <c r="I27" s="3" t="s">
        <v>170</v>
      </c>
      <c r="J27" s="3" t="s">
        <v>134</v>
      </c>
    </row>
    <row r="28" spans="3:10" x14ac:dyDescent="0.3">
      <c r="H28" s="3" t="s">
        <v>122</v>
      </c>
      <c r="I28" s="3" t="s">
        <v>171</v>
      </c>
      <c r="J28" s="3" t="s">
        <v>152</v>
      </c>
    </row>
    <row r="29" spans="3:10" x14ac:dyDescent="0.3">
      <c r="H29" s="3" t="s">
        <v>140</v>
      </c>
      <c r="I29" s="3" t="s">
        <v>172</v>
      </c>
      <c r="J29" s="3" t="s">
        <v>173</v>
      </c>
    </row>
    <row r="30" spans="3:10" x14ac:dyDescent="0.3">
      <c r="H30" s="3" t="s">
        <v>155</v>
      </c>
      <c r="I30" s="3" t="s">
        <v>174</v>
      </c>
      <c r="J30" s="3" t="s">
        <v>129</v>
      </c>
    </row>
    <row r="31" spans="3:10" x14ac:dyDescent="0.3">
      <c r="H31" s="3" t="s">
        <v>127</v>
      </c>
      <c r="I31" s="3" t="s">
        <v>175</v>
      </c>
      <c r="J31" s="3" t="s">
        <v>144</v>
      </c>
    </row>
    <row r="32" spans="3:10" x14ac:dyDescent="0.3">
      <c r="H32" s="3" t="s">
        <v>140</v>
      </c>
      <c r="I32" s="3" t="s">
        <v>176</v>
      </c>
      <c r="J32" s="3" t="s">
        <v>129</v>
      </c>
    </row>
    <row r="33" spans="8:10" x14ac:dyDescent="0.3">
      <c r="H33" s="3" t="s">
        <v>122</v>
      </c>
      <c r="I33" s="3" t="s">
        <v>177</v>
      </c>
      <c r="J33" s="3" t="s">
        <v>173</v>
      </c>
    </row>
    <row r="34" spans="8:10" x14ac:dyDescent="0.3">
      <c r="H34" s="3" t="s">
        <v>137</v>
      </c>
      <c r="I34" s="3" t="s">
        <v>178</v>
      </c>
      <c r="J34" s="3" t="s">
        <v>159</v>
      </c>
    </row>
    <row r="35" spans="8:10" x14ac:dyDescent="0.3">
      <c r="H35" s="3" t="s">
        <v>135</v>
      </c>
      <c r="I35" s="3" t="s">
        <v>179</v>
      </c>
      <c r="J35" s="3" t="s">
        <v>173</v>
      </c>
    </row>
    <row r="36" spans="8:10" x14ac:dyDescent="0.3">
      <c r="H36" s="3" t="s">
        <v>149</v>
      </c>
      <c r="I36" s="3" t="s">
        <v>180</v>
      </c>
      <c r="J36" s="3" t="s">
        <v>159</v>
      </c>
    </row>
    <row r="37" spans="8:10" x14ac:dyDescent="0.3">
      <c r="H37" s="3" t="s">
        <v>140</v>
      </c>
      <c r="I37" s="3" t="s">
        <v>181</v>
      </c>
      <c r="J37" s="3" t="s">
        <v>173</v>
      </c>
    </row>
    <row r="38" spans="8:10" x14ac:dyDescent="0.3">
      <c r="H38" s="3" t="s">
        <v>122</v>
      </c>
      <c r="I38" s="3" t="s">
        <v>182</v>
      </c>
      <c r="J38" s="3" t="s">
        <v>139</v>
      </c>
    </row>
    <row r="39" spans="8:10" x14ac:dyDescent="0.3">
      <c r="H39" s="3" t="s">
        <v>132</v>
      </c>
      <c r="I39" s="3" t="s">
        <v>183</v>
      </c>
      <c r="J39" s="3" t="s">
        <v>126</v>
      </c>
    </row>
    <row r="40" spans="8:10" x14ac:dyDescent="0.3">
      <c r="H40" s="3" t="s">
        <v>137</v>
      </c>
      <c r="I40" s="3" t="s">
        <v>184</v>
      </c>
      <c r="J40" s="3" t="s">
        <v>173</v>
      </c>
    </row>
    <row r="41" spans="8:10" x14ac:dyDescent="0.3">
      <c r="H41" s="3" t="s">
        <v>155</v>
      </c>
      <c r="I41" s="3" t="s">
        <v>185</v>
      </c>
      <c r="J41" s="3" t="s">
        <v>129</v>
      </c>
    </row>
    <row r="42" spans="8:10" x14ac:dyDescent="0.3">
      <c r="H42" s="3" t="s">
        <v>142</v>
      </c>
      <c r="I42" s="3" t="s">
        <v>186</v>
      </c>
      <c r="J42" s="3" t="s">
        <v>126</v>
      </c>
    </row>
    <row r="43" spans="8:10" x14ac:dyDescent="0.3">
      <c r="H43" s="3" t="s">
        <v>127</v>
      </c>
      <c r="I43" s="3" t="s">
        <v>187</v>
      </c>
      <c r="J43" s="3" t="s">
        <v>126</v>
      </c>
    </row>
    <row r="44" spans="8:10" x14ac:dyDescent="0.3">
      <c r="H44" s="3" t="s">
        <v>132</v>
      </c>
      <c r="I44" s="3" t="s">
        <v>188</v>
      </c>
      <c r="J44" s="3" t="s">
        <v>148</v>
      </c>
    </row>
    <row r="45" spans="8:10" x14ac:dyDescent="0.3">
      <c r="H45" s="3" t="s">
        <v>135</v>
      </c>
      <c r="I45" s="3" t="s">
        <v>189</v>
      </c>
      <c r="J45" s="3" t="s">
        <v>126</v>
      </c>
    </row>
    <row r="46" spans="8:10" x14ac:dyDescent="0.3">
      <c r="H46" s="3" t="s">
        <v>132</v>
      </c>
      <c r="I46" s="3" t="s">
        <v>190</v>
      </c>
      <c r="J46" s="3" t="s">
        <v>152</v>
      </c>
    </row>
    <row r="47" spans="8:10" x14ac:dyDescent="0.3">
      <c r="H47" s="3" t="s">
        <v>155</v>
      </c>
      <c r="I47" s="3" t="s">
        <v>191</v>
      </c>
      <c r="J47" s="3" t="s">
        <v>124</v>
      </c>
    </row>
    <row r="48" spans="8:10" x14ac:dyDescent="0.3">
      <c r="H48" s="3" t="s">
        <v>132</v>
      </c>
      <c r="I48" s="3" t="s">
        <v>162</v>
      </c>
      <c r="J48" s="3" t="s">
        <v>144</v>
      </c>
    </row>
    <row r="49" spans="8:10" x14ac:dyDescent="0.3">
      <c r="H49" s="3" t="s">
        <v>140</v>
      </c>
      <c r="I49" s="3" t="s">
        <v>192</v>
      </c>
      <c r="J49" s="3" t="s">
        <v>173</v>
      </c>
    </row>
    <row r="50" spans="8:10" x14ac:dyDescent="0.3">
      <c r="H50" s="3" t="s">
        <v>142</v>
      </c>
      <c r="I50" s="3" t="s">
        <v>186</v>
      </c>
      <c r="J50" s="3" t="s">
        <v>134</v>
      </c>
    </row>
    <row r="51" spans="8:10" x14ac:dyDescent="0.3">
      <c r="H51" s="3" t="s">
        <v>127</v>
      </c>
      <c r="I51" s="3" t="s">
        <v>193</v>
      </c>
      <c r="J51" s="3" t="s">
        <v>159</v>
      </c>
    </row>
    <row r="52" spans="8:10" x14ac:dyDescent="0.3">
      <c r="H52" s="3" t="s">
        <v>137</v>
      </c>
      <c r="I52" s="3" t="s">
        <v>194</v>
      </c>
      <c r="J52" s="3" t="s">
        <v>134</v>
      </c>
    </row>
    <row r="53" spans="8:10" x14ac:dyDescent="0.3">
      <c r="H53" s="3" t="s">
        <v>142</v>
      </c>
      <c r="I53" s="3" t="s">
        <v>195</v>
      </c>
      <c r="J53" s="3" t="s">
        <v>152</v>
      </c>
    </row>
    <row r="54" spans="8:10" x14ac:dyDescent="0.3">
      <c r="H54" s="3" t="s">
        <v>135</v>
      </c>
      <c r="I54" s="3" t="s">
        <v>196</v>
      </c>
      <c r="J54" s="3" t="s">
        <v>148</v>
      </c>
    </row>
    <row r="55" spans="8:10" x14ac:dyDescent="0.3">
      <c r="H55" s="3" t="s">
        <v>137</v>
      </c>
      <c r="I55" s="3" t="s">
        <v>197</v>
      </c>
      <c r="J55" s="3" t="s">
        <v>126</v>
      </c>
    </row>
    <row r="56" spans="8:10" x14ac:dyDescent="0.3">
      <c r="H56" s="3" t="s">
        <v>149</v>
      </c>
      <c r="I56" s="3" t="s">
        <v>198</v>
      </c>
      <c r="J56" s="3" t="s">
        <v>139</v>
      </c>
    </row>
    <row r="57" spans="8:10" x14ac:dyDescent="0.3">
      <c r="H57" s="3" t="s">
        <v>140</v>
      </c>
      <c r="I57" s="3" t="s">
        <v>199</v>
      </c>
      <c r="J57" s="3" t="s">
        <v>159</v>
      </c>
    </row>
    <row r="58" spans="8:10" x14ac:dyDescent="0.3">
      <c r="H58" s="3" t="s">
        <v>149</v>
      </c>
      <c r="I58" s="3" t="s">
        <v>200</v>
      </c>
      <c r="J58" s="3" t="s">
        <v>139</v>
      </c>
    </row>
    <row r="59" spans="8:10" x14ac:dyDescent="0.3">
      <c r="H59" s="3" t="s">
        <v>155</v>
      </c>
      <c r="I59" s="3" t="s">
        <v>201</v>
      </c>
      <c r="J59" s="3" t="s">
        <v>159</v>
      </c>
    </row>
    <row r="60" spans="8:10" x14ac:dyDescent="0.3">
      <c r="H60" s="3" t="s">
        <v>155</v>
      </c>
      <c r="I60" s="3" t="s">
        <v>202</v>
      </c>
      <c r="J60" s="3" t="s">
        <v>148</v>
      </c>
    </row>
    <row r="61" spans="8:10" x14ac:dyDescent="0.3">
      <c r="H61" s="3" t="s">
        <v>140</v>
      </c>
      <c r="I61" s="3" t="s">
        <v>203</v>
      </c>
      <c r="J61" s="3" t="s">
        <v>148</v>
      </c>
    </row>
    <row r="62" spans="8:10" x14ac:dyDescent="0.3">
      <c r="H62" s="3" t="s">
        <v>137</v>
      </c>
      <c r="I62" s="3" t="s">
        <v>204</v>
      </c>
      <c r="J62" s="3" t="s">
        <v>159</v>
      </c>
    </row>
    <row r="63" spans="8:10" x14ac:dyDescent="0.3">
      <c r="H63" s="3" t="s">
        <v>149</v>
      </c>
      <c r="I63" s="3" t="s">
        <v>205</v>
      </c>
      <c r="J63" s="3" t="s">
        <v>152</v>
      </c>
    </row>
    <row r="64" spans="8:10" x14ac:dyDescent="0.3">
      <c r="H64" s="3" t="s">
        <v>135</v>
      </c>
      <c r="I64" s="3" t="s">
        <v>206</v>
      </c>
      <c r="J64" s="3" t="s">
        <v>152</v>
      </c>
    </row>
    <row r="65" spans="8:10" x14ac:dyDescent="0.3">
      <c r="H65" s="3" t="s">
        <v>122</v>
      </c>
      <c r="I65" s="3" t="s">
        <v>207</v>
      </c>
      <c r="J65" s="3" t="s">
        <v>139</v>
      </c>
    </row>
    <row r="66" spans="8:10" x14ac:dyDescent="0.3">
      <c r="H66" s="3" t="s">
        <v>155</v>
      </c>
      <c r="I66" s="3" t="s">
        <v>208</v>
      </c>
      <c r="J66" s="3" t="s">
        <v>126</v>
      </c>
    </row>
    <row r="67" spans="8:10" x14ac:dyDescent="0.3">
      <c r="H67" s="3" t="s">
        <v>135</v>
      </c>
      <c r="I67" s="3" t="s">
        <v>209</v>
      </c>
      <c r="J67" s="3" t="s">
        <v>159</v>
      </c>
    </row>
    <row r="68" spans="8:10" x14ac:dyDescent="0.3">
      <c r="H68" s="3" t="s">
        <v>127</v>
      </c>
      <c r="I68" s="3" t="s">
        <v>210</v>
      </c>
      <c r="J68" s="3" t="s">
        <v>148</v>
      </c>
    </row>
    <row r="69" spans="8:10" x14ac:dyDescent="0.3">
      <c r="H69" s="3" t="s">
        <v>127</v>
      </c>
      <c r="I69" s="3" t="s">
        <v>211</v>
      </c>
      <c r="J69" s="3" t="s">
        <v>144</v>
      </c>
    </row>
    <row r="70" spans="8:10" x14ac:dyDescent="0.3">
      <c r="H70" s="3" t="s">
        <v>142</v>
      </c>
      <c r="I70" s="3" t="s">
        <v>212</v>
      </c>
      <c r="J70" s="3" t="s">
        <v>152</v>
      </c>
    </row>
    <row r="71" spans="8:10" x14ac:dyDescent="0.3">
      <c r="H71" s="3" t="s">
        <v>137</v>
      </c>
      <c r="I71" s="3" t="s">
        <v>213</v>
      </c>
      <c r="J71" s="3" t="s">
        <v>148</v>
      </c>
    </row>
    <row r="72" spans="8:10" x14ac:dyDescent="0.3">
      <c r="H72" s="3" t="s">
        <v>127</v>
      </c>
      <c r="I72" s="3" t="s">
        <v>214</v>
      </c>
      <c r="J72" s="3" t="s">
        <v>152</v>
      </c>
    </row>
    <row r="73" spans="8:10" x14ac:dyDescent="0.3">
      <c r="H73" s="3" t="s">
        <v>155</v>
      </c>
      <c r="I73" s="3" t="s">
        <v>215</v>
      </c>
      <c r="J73" s="3" t="s">
        <v>124</v>
      </c>
    </row>
    <row r="74" spans="8:10" x14ac:dyDescent="0.3">
      <c r="H74" s="3" t="s">
        <v>142</v>
      </c>
      <c r="I74" s="3" t="s">
        <v>216</v>
      </c>
      <c r="J74" s="3" t="s">
        <v>124</v>
      </c>
    </row>
    <row r="75" spans="8:10" x14ac:dyDescent="0.3">
      <c r="H75" s="3" t="s">
        <v>130</v>
      </c>
      <c r="I75" s="3" t="s">
        <v>217</v>
      </c>
      <c r="J75" s="3" t="s">
        <v>152</v>
      </c>
    </row>
    <row r="76" spans="8:10" x14ac:dyDescent="0.3">
      <c r="H76" s="3" t="s">
        <v>149</v>
      </c>
      <c r="I76" s="3" t="s">
        <v>218</v>
      </c>
      <c r="J76" s="3" t="s">
        <v>173</v>
      </c>
    </row>
    <row r="77" spans="8:10" x14ac:dyDescent="0.3">
      <c r="H77" s="3" t="s">
        <v>140</v>
      </c>
      <c r="I77" s="3" t="s">
        <v>219</v>
      </c>
      <c r="J77" s="3" t="s">
        <v>129</v>
      </c>
    </row>
    <row r="78" spans="8:10" x14ac:dyDescent="0.3">
      <c r="H78" s="3" t="s">
        <v>130</v>
      </c>
      <c r="I78" s="3" t="s">
        <v>220</v>
      </c>
      <c r="J78" s="3" t="s">
        <v>126</v>
      </c>
    </row>
    <row r="79" spans="8:10" x14ac:dyDescent="0.3">
      <c r="H79" s="3" t="s">
        <v>130</v>
      </c>
      <c r="I79" s="3" t="s">
        <v>221</v>
      </c>
      <c r="J79" s="3" t="s">
        <v>144</v>
      </c>
    </row>
    <row r="80" spans="8:10" x14ac:dyDescent="0.3">
      <c r="H80" s="3" t="s">
        <v>142</v>
      </c>
      <c r="I80" s="3" t="s">
        <v>222</v>
      </c>
      <c r="J80" s="3" t="s">
        <v>126</v>
      </c>
    </row>
    <row r="81" spans="8:10" x14ac:dyDescent="0.3">
      <c r="H81" s="3" t="s">
        <v>130</v>
      </c>
      <c r="I81" s="3" t="s">
        <v>223</v>
      </c>
      <c r="J81" s="3" t="s">
        <v>129</v>
      </c>
    </row>
    <row r="82" spans="8:10" x14ac:dyDescent="0.3">
      <c r="H82" s="3" t="s">
        <v>142</v>
      </c>
      <c r="I82" s="3" t="s">
        <v>224</v>
      </c>
      <c r="J82" s="3" t="s">
        <v>139</v>
      </c>
    </row>
    <row r="83" spans="8:10" x14ac:dyDescent="0.3">
      <c r="H83" s="3" t="s">
        <v>140</v>
      </c>
      <c r="I83" s="3" t="s">
        <v>225</v>
      </c>
      <c r="J83" s="3" t="s">
        <v>173</v>
      </c>
    </row>
    <row r="84" spans="8:10" x14ac:dyDescent="0.3">
      <c r="H84" s="3" t="s">
        <v>130</v>
      </c>
      <c r="I84" s="3" t="s">
        <v>226</v>
      </c>
      <c r="J84" s="3" t="s">
        <v>159</v>
      </c>
    </row>
    <row r="85" spans="8:10" x14ac:dyDescent="0.3">
      <c r="H85" s="3" t="s">
        <v>122</v>
      </c>
      <c r="I85" s="3" t="s">
        <v>227</v>
      </c>
      <c r="J85" s="3" t="s">
        <v>126</v>
      </c>
    </row>
    <row r="86" spans="8:10" x14ac:dyDescent="0.3">
      <c r="H86" s="3" t="s">
        <v>142</v>
      </c>
      <c r="I86" s="3" t="s">
        <v>228</v>
      </c>
      <c r="J86" s="3" t="s">
        <v>152</v>
      </c>
    </row>
    <row r="87" spans="8:10" x14ac:dyDescent="0.3">
      <c r="H87" s="3" t="s">
        <v>149</v>
      </c>
      <c r="I87" s="3" t="s">
        <v>218</v>
      </c>
      <c r="J87" s="3" t="s">
        <v>148</v>
      </c>
    </row>
    <row r="88" spans="8:10" x14ac:dyDescent="0.3">
      <c r="H88" s="3" t="s">
        <v>127</v>
      </c>
      <c r="I88" s="3" t="s">
        <v>229</v>
      </c>
      <c r="J88" s="3" t="s">
        <v>152</v>
      </c>
    </row>
    <row r="89" spans="8:10" x14ac:dyDescent="0.3">
      <c r="H89" s="3" t="s">
        <v>122</v>
      </c>
      <c r="I89" s="3" t="s">
        <v>230</v>
      </c>
      <c r="J89" s="3" t="s">
        <v>129</v>
      </c>
    </row>
    <row r="90" spans="8:10" x14ac:dyDescent="0.3">
      <c r="H90" s="3" t="s">
        <v>130</v>
      </c>
      <c r="I90" s="3" t="s">
        <v>161</v>
      </c>
      <c r="J90" s="3" t="s">
        <v>139</v>
      </c>
    </row>
    <row r="91" spans="8:10" x14ac:dyDescent="0.3">
      <c r="H91" s="3" t="s">
        <v>135</v>
      </c>
      <c r="I91" s="3" t="s">
        <v>231</v>
      </c>
      <c r="J91" s="3" t="s">
        <v>126</v>
      </c>
    </row>
    <row r="92" spans="8:10" x14ac:dyDescent="0.3">
      <c r="H92" s="3" t="s">
        <v>137</v>
      </c>
      <c r="I92" s="3" t="s">
        <v>232</v>
      </c>
      <c r="J92" s="3" t="s">
        <v>124</v>
      </c>
    </row>
    <row r="93" spans="8:10" x14ac:dyDescent="0.3">
      <c r="H93" s="3" t="s">
        <v>142</v>
      </c>
      <c r="I93" s="3" t="s">
        <v>233</v>
      </c>
      <c r="J93" s="3" t="s">
        <v>126</v>
      </c>
    </row>
    <row r="94" spans="8:10" x14ac:dyDescent="0.3">
      <c r="H94" s="3" t="s">
        <v>149</v>
      </c>
      <c r="I94" s="3" t="s">
        <v>153</v>
      </c>
      <c r="J94" s="3" t="s">
        <v>126</v>
      </c>
    </row>
    <row r="95" spans="8:10" x14ac:dyDescent="0.3">
      <c r="H95" s="3" t="s">
        <v>132</v>
      </c>
      <c r="I95" s="3" t="s">
        <v>234</v>
      </c>
      <c r="J95" s="3" t="s">
        <v>134</v>
      </c>
    </row>
    <row r="96" spans="8:10" x14ac:dyDescent="0.3">
      <c r="H96" s="3" t="s">
        <v>142</v>
      </c>
      <c r="I96" s="3" t="s">
        <v>143</v>
      </c>
      <c r="J96" s="3" t="s">
        <v>139</v>
      </c>
    </row>
    <row r="97" spans="8:10" x14ac:dyDescent="0.3">
      <c r="H97" s="3" t="s">
        <v>132</v>
      </c>
      <c r="I97" s="3" t="s">
        <v>235</v>
      </c>
      <c r="J97" s="3" t="s">
        <v>159</v>
      </c>
    </row>
    <row r="98" spans="8:10" x14ac:dyDescent="0.3">
      <c r="H98" s="3" t="s">
        <v>137</v>
      </c>
      <c r="I98" s="3" t="s">
        <v>184</v>
      </c>
      <c r="J98" s="3" t="s">
        <v>124</v>
      </c>
    </row>
    <row r="99" spans="8:10" x14ac:dyDescent="0.3">
      <c r="H99" s="3" t="s">
        <v>127</v>
      </c>
      <c r="I99" s="3" t="s">
        <v>236</v>
      </c>
      <c r="J99" s="3" t="s">
        <v>139</v>
      </c>
    </row>
    <row r="100" spans="8:10" x14ac:dyDescent="0.3">
      <c r="H100" s="3" t="s">
        <v>130</v>
      </c>
      <c r="I100" s="3" t="s">
        <v>237</v>
      </c>
      <c r="J100" s="3" t="s">
        <v>159</v>
      </c>
    </row>
    <row r="101" spans="8:10" x14ac:dyDescent="0.3">
      <c r="H101" s="3" t="s">
        <v>132</v>
      </c>
      <c r="I101" s="3" t="s">
        <v>238</v>
      </c>
      <c r="J101" s="3" t="s">
        <v>124</v>
      </c>
    </row>
    <row r="102" spans="8:10" x14ac:dyDescent="0.3">
      <c r="H102" s="3" t="s">
        <v>122</v>
      </c>
      <c r="I102" s="3" t="s">
        <v>239</v>
      </c>
      <c r="J102" s="3" t="s">
        <v>139</v>
      </c>
    </row>
    <row r="103" spans="8:10" x14ac:dyDescent="0.3">
      <c r="H103" s="3" t="s">
        <v>122</v>
      </c>
      <c r="I103" s="3" t="s">
        <v>240</v>
      </c>
      <c r="J103" s="3" t="s">
        <v>134</v>
      </c>
    </row>
    <row r="104" spans="8:10" x14ac:dyDescent="0.3">
      <c r="H104" s="3" t="s">
        <v>137</v>
      </c>
      <c r="I104" s="3" t="s">
        <v>241</v>
      </c>
      <c r="J104" s="3" t="s">
        <v>148</v>
      </c>
    </row>
    <row r="105" spans="8:10" x14ac:dyDescent="0.3">
      <c r="H105" s="3" t="s">
        <v>135</v>
      </c>
      <c r="I105" s="3" t="s">
        <v>242</v>
      </c>
      <c r="J105" s="3" t="s">
        <v>152</v>
      </c>
    </row>
    <row r="106" spans="8:10" x14ac:dyDescent="0.3">
      <c r="H106" s="3" t="s">
        <v>127</v>
      </c>
      <c r="I106" s="3" t="s">
        <v>243</v>
      </c>
      <c r="J106" s="3" t="s">
        <v>148</v>
      </c>
    </row>
    <row r="107" spans="8:10" x14ac:dyDescent="0.3">
      <c r="H107" s="3" t="s">
        <v>149</v>
      </c>
      <c r="I107" s="3" t="s">
        <v>166</v>
      </c>
      <c r="J107" s="3" t="s">
        <v>129</v>
      </c>
    </row>
    <row r="108" spans="8:10" x14ac:dyDescent="0.3">
      <c r="H108" s="3" t="s">
        <v>127</v>
      </c>
      <c r="I108" s="3" t="s">
        <v>236</v>
      </c>
      <c r="J108" s="3" t="s">
        <v>129</v>
      </c>
    </row>
    <row r="109" spans="8:10" x14ac:dyDescent="0.3">
      <c r="H109" s="3" t="s">
        <v>155</v>
      </c>
      <c r="I109" s="3" t="s">
        <v>244</v>
      </c>
      <c r="J109" s="3" t="s">
        <v>126</v>
      </c>
    </row>
    <row r="110" spans="8:10" x14ac:dyDescent="0.3">
      <c r="H110" s="3" t="s">
        <v>140</v>
      </c>
      <c r="I110" s="3" t="s">
        <v>245</v>
      </c>
      <c r="J110" s="3" t="s">
        <v>152</v>
      </c>
    </row>
    <row r="111" spans="8:10" x14ac:dyDescent="0.3">
      <c r="H111" s="3" t="s">
        <v>135</v>
      </c>
      <c r="I111" s="3" t="s">
        <v>209</v>
      </c>
      <c r="J111" s="3" t="s">
        <v>173</v>
      </c>
    </row>
    <row r="112" spans="8:10" x14ac:dyDescent="0.3">
      <c r="H112" s="3" t="s">
        <v>142</v>
      </c>
      <c r="I112" s="3" t="s">
        <v>246</v>
      </c>
      <c r="J112" s="3" t="s">
        <v>159</v>
      </c>
    </row>
    <row r="113" spans="8:10" x14ac:dyDescent="0.3">
      <c r="H113" s="3" t="s">
        <v>122</v>
      </c>
      <c r="I113" s="3" t="s">
        <v>247</v>
      </c>
      <c r="J113" s="3" t="s">
        <v>124</v>
      </c>
    </row>
    <row r="114" spans="8:10" x14ac:dyDescent="0.3">
      <c r="H114" s="3" t="s">
        <v>155</v>
      </c>
      <c r="I114" s="3" t="s">
        <v>248</v>
      </c>
      <c r="J114" s="3" t="s">
        <v>144</v>
      </c>
    </row>
    <row r="115" spans="8:10" x14ac:dyDescent="0.3">
      <c r="H115" s="3" t="s">
        <v>122</v>
      </c>
      <c r="I115" s="3" t="s">
        <v>249</v>
      </c>
      <c r="J115" s="3" t="s">
        <v>148</v>
      </c>
    </row>
    <row r="116" spans="8:10" x14ac:dyDescent="0.3">
      <c r="H116" s="3" t="s">
        <v>140</v>
      </c>
      <c r="I116" s="3" t="s">
        <v>250</v>
      </c>
      <c r="J116" s="3" t="s">
        <v>134</v>
      </c>
    </row>
    <row r="117" spans="8:10" x14ac:dyDescent="0.3">
      <c r="H117" s="3" t="s">
        <v>122</v>
      </c>
      <c r="I117" s="3" t="s">
        <v>251</v>
      </c>
      <c r="J117" s="3" t="s">
        <v>159</v>
      </c>
    </row>
    <row r="118" spans="8:10" x14ac:dyDescent="0.3">
      <c r="H118" s="3" t="s">
        <v>132</v>
      </c>
      <c r="I118" s="3" t="s">
        <v>252</v>
      </c>
      <c r="J118" s="3" t="s">
        <v>126</v>
      </c>
    </row>
    <row r="119" spans="8:10" x14ac:dyDescent="0.3">
      <c r="H119" s="3" t="s">
        <v>142</v>
      </c>
      <c r="I119" s="3" t="s">
        <v>253</v>
      </c>
      <c r="J119" s="3" t="s">
        <v>139</v>
      </c>
    </row>
    <row r="120" spans="8:10" x14ac:dyDescent="0.3">
      <c r="H120" s="3" t="s">
        <v>137</v>
      </c>
      <c r="I120" s="3" t="s">
        <v>194</v>
      </c>
      <c r="J120" s="3" t="s">
        <v>129</v>
      </c>
    </row>
    <row r="121" spans="8:10" x14ac:dyDescent="0.3">
      <c r="H121" s="3" t="s">
        <v>155</v>
      </c>
      <c r="I121" s="3" t="s">
        <v>174</v>
      </c>
      <c r="J121" s="3" t="s">
        <v>139</v>
      </c>
    </row>
    <row r="122" spans="8:10" x14ac:dyDescent="0.3">
      <c r="H122" s="3" t="s">
        <v>122</v>
      </c>
      <c r="I122" s="3" t="s">
        <v>254</v>
      </c>
      <c r="J122" s="3" t="s">
        <v>144</v>
      </c>
    </row>
    <row r="123" spans="8:10" x14ac:dyDescent="0.3">
      <c r="H123" s="3" t="s">
        <v>142</v>
      </c>
      <c r="I123" s="3" t="s">
        <v>255</v>
      </c>
      <c r="J123" s="3" t="s">
        <v>173</v>
      </c>
    </row>
    <row r="124" spans="8:10" x14ac:dyDescent="0.3">
      <c r="H124" s="3" t="s">
        <v>130</v>
      </c>
      <c r="I124" s="3" t="s">
        <v>256</v>
      </c>
      <c r="J124" s="3" t="s">
        <v>159</v>
      </c>
    </row>
    <row r="125" spans="8:10" x14ac:dyDescent="0.3">
      <c r="H125" s="3" t="s">
        <v>149</v>
      </c>
      <c r="I125" s="3" t="s">
        <v>257</v>
      </c>
      <c r="J125" s="3" t="s">
        <v>144</v>
      </c>
    </row>
    <row r="126" spans="8:10" x14ac:dyDescent="0.3">
      <c r="H126" s="3" t="s">
        <v>122</v>
      </c>
      <c r="I126" s="3" t="s">
        <v>258</v>
      </c>
      <c r="J126" s="3" t="s">
        <v>152</v>
      </c>
    </row>
    <row r="127" spans="8:10" x14ac:dyDescent="0.3">
      <c r="H127" s="3" t="s">
        <v>135</v>
      </c>
      <c r="I127" s="3" t="s">
        <v>259</v>
      </c>
      <c r="J127" s="3" t="s">
        <v>129</v>
      </c>
    </row>
    <row r="128" spans="8:10" x14ac:dyDescent="0.3">
      <c r="H128" s="3" t="s">
        <v>122</v>
      </c>
      <c r="I128" s="3" t="s">
        <v>260</v>
      </c>
      <c r="J128" s="3" t="s">
        <v>148</v>
      </c>
    </row>
    <row r="129" spans="8:10" x14ac:dyDescent="0.3">
      <c r="H129" s="3" t="s">
        <v>149</v>
      </c>
      <c r="I129" s="3" t="s">
        <v>261</v>
      </c>
      <c r="J129" s="3" t="s">
        <v>148</v>
      </c>
    </row>
    <row r="130" spans="8:10" x14ac:dyDescent="0.3">
      <c r="H130" s="3" t="s">
        <v>155</v>
      </c>
      <c r="I130" s="3" t="s">
        <v>262</v>
      </c>
      <c r="J130" s="3" t="s">
        <v>134</v>
      </c>
    </row>
    <row r="131" spans="8:10" x14ac:dyDescent="0.3">
      <c r="H131" s="3" t="s">
        <v>135</v>
      </c>
      <c r="I131" s="3" t="s">
        <v>263</v>
      </c>
      <c r="J131" s="3" t="s">
        <v>159</v>
      </c>
    </row>
    <row r="132" spans="8:10" x14ac:dyDescent="0.3">
      <c r="H132" s="3" t="s">
        <v>135</v>
      </c>
      <c r="I132" s="3" t="s">
        <v>264</v>
      </c>
      <c r="J132" s="3" t="s">
        <v>124</v>
      </c>
    </row>
    <row r="133" spans="8:10" x14ac:dyDescent="0.3">
      <c r="H133" s="3" t="s">
        <v>149</v>
      </c>
      <c r="I133" s="3" t="s">
        <v>265</v>
      </c>
      <c r="J133" s="3" t="s">
        <v>148</v>
      </c>
    </row>
    <row r="134" spans="8:10" x14ac:dyDescent="0.3">
      <c r="H134" s="3" t="s">
        <v>142</v>
      </c>
      <c r="I134" s="3" t="s">
        <v>266</v>
      </c>
      <c r="J134" s="3" t="s">
        <v>152</v>
      </c>
    </row>
    <row r="135" spans="8:10" x14ac:dyDescent="0.3">
      <c r="H135" s="3" t="s">
        <v>132</v>
      </c>
      <c r="I135" s="3" t="s">
        <v>267</v>
      </c>
      <c r="J135" s="3" t="s">
        <v>124</v>
      </c>
    </row>
    <row r="136" spans="8:10" x14ac:dyDescent="0.3">
      <c r="H136" s="3" t="s">
        <v>140</v>
      </c>
      <c r="I136" s="3" t="s">
        <v>245</v>
      </c>
      <c r="J136" s="3" t="s">
        <v>144</v>
      </c>
    </row>
    <row r="137" spans="8:10" x14ac:dyDescent="0.3">
      <c r="H137" s="3" t="s">
        <v>155</v>
      </c>
      <c r="I137" s="3" t="s">
        <v>268</v>
      </c>
      <c r="J137" s="3" t="s">
        <v>173</v>
      </c>
    </row>
    <row r="138" spans="8:10" x14ac:dyDescent="0.3">
      <c r="H138" s="3" t="s">
        <v>140</v>
      </c>
      <c r="I138" s="3" t="s">
        <v>269</v>
      </c>
      <c r="J138" s="3" t="s">
        <v>173</v>
      </c>
    </row>
    <row r="139" spans="8:10" x14ac:dyDescent="0.3">
      <c r="H139" s="3" t="s">
        <v>149</v>
      </c>
      <c r="I139" s="3" t="s">
        <v>270</v>
      </c>
      <c r="J139" s="3" t="s">
        <v>173</v>
      </c>
    </row>
    <row r="140" spans="8:10" x14ac:dyDescent="0.3">
      <c r="H140" s="3" t="s">
        <v>137</v>
      </c>
      <c r="I140" s="3" t="s">
        <v>271</v>
      </c>
      <c r="J140" s="3" t="s">
        <v>159</v>
      </c>
    </row>
    <row r="141" spans="8:10" x14ac:dyDescent="0.3">
      <c r="H141" s="3" t="s">
        <v>140</v>
      </c>
      <c r="I141" s="3" t="s">
        <v>181</v>
      </c>
      <c r="J141" s="3" t="s">
        <v>159</v>
      </c>
    </row>
    <row r="142" spans="8:10" x14ac:dyDescent="0.3">
      <c r="H142" s="3" t="s">
        <v>155</v>
      </c>
      <c r="I142" s="3" t="s">
        <v>272</v>
      </c>
      <c r="J142" s="3" t="s">
        <v>139</v>
      </c>
    </row>
    <row r="143" spans="8:10" x14ac:dyDescent="0.3">
      <c r="H143" s="3" t="s">
        <v>132</v>
      </c>
      <c r="I143" s="3" t="s">
        <v>273</v>
      </c>
      <c r="J143" s="3" t="s">
        <v>148</v>
      </c>
    </row>
    <row r="144" spans="8:10" x14ac:dyDescent="0.3">
      <c r="H144" s="3" t="s">
        <v>122</v>
      </c>
      <c r="I144" s="3" t="s">
        <v>254</v>
      </c>
      <c r="J144" s="3" t="s">
        <v>152</v>
      </c>
    </row>
    <row r="145" spans="8:10" x14ac:dyDescent="0.3">
      <c r="H145" s="3" t="s">
        <v>142</v>
      </c>
      <c r="I145" s="3" t="s">
        <v>274</v>
      </c>
      <c r="J145" s="3" t="s">
        <v>148</v>
      </c>
    </row>
    <row r="146" spans="8:10" x14ac:dyDescent="0.3">
      <c r="H146" s="3" t="s">
        <v>140</v>
      </c>
      <c r="I146" s="3" t="s">
        <v>275</v>
      </c>
      <c r="J146" s="3" t="s">
        <v>173</v>
      </c>
    </row>
    <row r="147" spans="8:10" x14ac:dyDescent="0.3">
      <c r="H147" s="3" t="s">
        <v>135</v>
      </c>
      <c r="I147" s="3" t="s">
        <v>136</v>
      </c>
      <c r="J147" s="3" t="s">
        <v>129</v>
      </c>
    </row>
    <row r="148" spans="8:10" x14ac:dyDescent="0.3">
      <c r="H148" s="3" t="s">
        <v>135</v>
      </c>
      <c r="I148" s="3" t="s">
        <v>276</v>
      </c>
      <c r="J148" s="3" t="s">
        <v>152</v>
      </c>
    </row>
    <row r="149" spans="8:10" x14ac:dyDescent="0.3">
      <c r="H149" s="3" t="s">
        <v>135</v>
      </c>
      <c r="I149" s="3" t="s">
        <v>277</v>
      </c>
      <c r="J149" s="3" t="s">
        <v>148</v>
      </c>
    </row>
    <row r="150" spans="8:10" x14ac:dyDescent="0.3">
      <c r="H150" s="3" t="s">
        <v>137</v>
      </c>
      <c r="I150" s="3" t="s">
        <v>204</v>
      </c>
      <c r="J150" s="3" t="s">
        <v>129</v>
      </c>
    </row>
    <row r="151" spans="8:10" x14ac:dyDescent="0.3">
      <c r="H151" s="3" t="s">
        <v>155</v>
      </c>
      <c r="I151" s="3" t="s">
        <v>278</v>
      </c>
      <c r="J151" s="3" t="s">
        <v>139</v>
      </c>
    </row>
    <row r="152" spans="8:10" x14ac:dyDescent="0.3">
      <c r="H152" s="3" t="s">
        <v>130</v>
      </c>
      <c r="I152" s="3" t="s">
        <v>279</v>
      </c>
      <c r="J152" s="3" t="s">
        <v>124</v>
      </c>
    </row>
    <row r="153" spans="8:10" x14ac:dyDescent="0.3">
      <c r="H153" s="3" t="s">
        <v>132</v>
      </c>
      <c r="I153" s="3" t="s">
        <v>280</v>
      </c>
      <c r="J153" s="3" t="s">
        <v>124</v>
      </c>
    </row>
    <row r="154" spans="8:10" x14ac:dyDescent="0.3">
      <c r="H154" s="3" t="s">
        <v>135</v>
      </c>
      <c r="I154" s="3" t="s">
        <v>209</v>
      </c>
      <c r="J154" s="3" t="s">
        <v>139</v>
      </c>
    </row>
    <row r="155" spans="8:10" x14ac:dyDescent="0.3">
      <c r="H155" s="3" t="s">
        <v>132</v>
      </c>
      <c r="I155" s="3" t="s">
        <v>162</v>
      </c>
      <c r="J155" s="3" t="s">
        <v>139</v>
      </c>
    </row>
    <row r="156" spans="8:10" x14ac:dyDescent="0.3">
      <c r="H156" s="3" t="s">
        <v>140</v>
      </c>
      <c r="I156" s="3" t="s">
        <v>269</v>
      </c>
      <c r="J156" s="3" t="s">
        <v>134</v>
      </c>
    </row>
    <row r="157" spans="8:10" x14ac:dyDescent="0.3">
      <c r="H157" s="3" t="s">
        <v>142</v>
      </c>
      <c r="I157" s="3" t="s">
        <v>281</v>
      </c>
      <c r="J157" s="3" t="s">
        <v>152</v>
      </c>
    </row>
    <row r="158" spans="8:10" x14ac:dyDescent="0.3">
      <c r="H158" s="3" t="s">
        <v>140</v>
      </c>
      <c r="I158" s="3" t="s">
        <v>282</v>
      </c>
      <c r="J158" s="3" t="s">
        <v>173</v>
      </c>
    </row>
    <row r="159" spans="8:10" x14ac:dyDescent="0.3">
      <c r="H159" s="3" t="s">
        <v>122</v>
      </c>
      <c r="I159" s="3" t="s">
        <v>283</v>
      </c>
      <c r="J159" s="3" t="s">
        <v>152</v>
      </c>
    </row>
    <row r="160" spans="8:10" x14ac:dyDescent="0.3">
      <c r="H160" s="3" t="s">
        <v>122</v>
      </c>
      <c r="I160" s="3" t="s">
        <v>240</v>
      </c>
      <c r="J160" s="3" t="s">
        <v>152</v>
      </c>
    </row>
    <row r="161" spans="8:10" x14ac:dyDescent="0.3">
      <c r="H161" s="3" t="s">
        <v>132</v>
      </c>
      <c r="I161" s="3" t="s">
        <v>284</v>
      </c>
      <c r="J161" s="3" t="s">
        <v>129</v>
      </c>
    </row>
    <row r="162" spans="8:10" x14ac:dyDescent="0.3">
      <c r="H162" s="3" t="s">
        <v>130</v>
      </c>
      <c r="I162" s="3" t="s">
        <v>285</v>
      </c>
      <c r="J162" s="3" t="s">
        <v>144</v>
      </c>
    </row>
    <row r="163" spans="8:10" x14ac:dyDescent="0.3">
      <c r="H163" s="3" t="s">
        <v>127</v>
      </c>
      <c r="I163" s="3" t="s">
        <v>145</v>
      </c>
      <c r="J163" s="3" t="s">
        <v>159</v>
      </c>
    </row>
    <row r="164" spans="8:10" x14ac:dyDescent="0.3">
      <c r="H164" s="3" t="s">
        <v>142</v>
      </c>
      <c r="I164" s="3" t="s">
        <v>286</v>
      </c>
      <c r="J164" s="3" t="s">
        <v>126</v>
      </c>
    </row>
    <row r="165" spans="8:10" x14ac:dyDescent="0.3">
      <c r="H165" s="3" t="s">
        <v>149</v>
      </c>
      <c r="I165" s="3" t="s">
        <v>287</v>
      </c>
      <c r="J165" s="3" t="s">
        <v>124</v>
      </c>
    </row>
    <row r="166" spans="8:10" x14ac:dyDescent="0.3">
      <c r="H166" s="3" t="s">
        <v>140</v>
      </c>
      <c r="I166" s="3" t="s">
        <v>288</v>
      </c>
      <c r="J166" s="3" t="s">
        <v>126</v>
      </c>
    </row>
    <row r="167" spans="8:10" x14ac:dyDescent="0.3">
      <c r="H167" s="3" t="s">
        <v>137</v>
      </c>
      <c r="I167" s="3" t="s">
        <v>289</v>
      </c>
      <c r="J167" s="3" t="s">
        <v>126</v>
      </c>
    </row>
    <row r="168" spans="8:10" x14ac:dyDescent="0.3">
      <c r="H168" s="3" t="s">
        <v>132</v>
      </c>
      <c r="I168" s="3" t="s">
        <v>290</v>
      </c>
      <c r="J168" s="3" t="s">
        <v>173</v>
      </c>
    </row>
    <row r="169" spans="8:10" x14ac:dyDescent="0.3">
      <c r="H169" s="3" t="s">
        <v>155</v>
      </c>
      <c r="I169" s="3" t="s">
        <v>272</v>
      </c>
      <c r="J169" s="3" t="s">
        <v>148</v>
      </c>
    </row>
    <row r="170" spans="8:10" x14ac:dyDescent="0.3">
      <c r="H170" s="3" t="s">
        <v>140</v>
      </c>
      <c r="I170" s="3" t="s">
        <v>291</v>
      </c>
      <c r="J170" s="3" t="s">
        <v>129</v>
      </c>
    </row>
    <row r="171" spans="8:10" x14ac:dyDescent="0.3">
      <c r="H171" s="3" t="s">
        <v>137</v>
      </c>
      <c r="I171" s="3" t="s">
        <v>232</v>
      </c>
      <c r="J171" s="3" t="s">
        <v>126</v>
      </c>
    </row>
    <row r="172" spans="8:10" x14ac:dyDescent="0.3">
      <c r="H172" s="3" t="s">
        <v>122</v>
      </c>
      <c r="I172" s="3" t="s">
        <v>292</v>
      </c>
      <c r="J172" s="3" t="s">
        <v>148</v>
      </c>
    </row>
    <row r="173" spans="8:10" x14ac:dyDescent="0.3">
      <c r="H173" s="3" t="s">
        <v>140</v>
      </c>
      <c r="I173" s="3" t="s">
        <v>293</v>
      </c>
      <c r="J173" s="3" t="s">
        <v>148</v>
      </c>
    </row>
    <row r="174" spans="8:10" x14ac:dyDescent="0.3">
      <c r="H174" s="3" t="s">
        <v>130</v>
      </c>
      <c r="I174" s="3" t="s">
        <v>294</v>
      </c>
      <c r="J174" s="3" t="s">
        <v>124</v>
      </c>
    </row>
    <row r="175" spans="8:10" x14ac:dyDescent="0.3">
      <c r="H175" s="3" t="s">
        <v>149</v>
      </c>
      <c r="I175" s="3" t="s">
        <v>200</v>
      </c>
      <c r="J175" s="3" t="s">
        <v>126</v>
      </c>
    </row>
    <row r="176" spans="8:10" x14ac:dyDescent="0.3">
      <c r="H176" s="3" t="s">
        <v>127</v>
      </c>
      <c r="I176" s="3" t="s">
        <v>295</v>
      </c>
      <c r="J176" s="3" t="s">
        <v>152</v>
      </c>
    </row>
    <row r="177" spans="8:10" x14ac:dyDescent="0.3">
      <c r="H177" s="3" t="s">
        <v>122</v>
      </c>
      <c r="I177" s="3" t="s">
        <v>296</v>
      </c>
      <c r="J177" s="3" t="s">
        <v>134</v>
      </c>
    </row>
    <row r="178" spans="8:10" x14ac:dyDescent="0.3">
      <c r="H178" s="3" t="s">
        <v>155</v>
      </c>
      <c r="I178" s="3" t="s">
        <v>297</v>
      </c>
      <c r="J178" s="3" t="s">
        <v>139</v>
      </c>
    </row>
    <row r="179" spans="8:10" x14ac:dyDescent="0.3">
      <c r="H179" s="3" t="s">
        <v>132</v>
      </c>
      <c r="I179" s="3" t="s">
        <v>298</v>
      </c>
      <c r="J179" s="3" t="s">
        <v>139</v>
      </c>
    </row>
    <row r="180" spans="8:10" x14ac:dyDescent="0.3">
      <c r="H180" s="3" t="s">
        <v>132</v>
      </c>
      <c r="I180" s="3" t="s">
        <v>299</v>
      </c>
      <c r="J180" s="3" t="s">
        <v>173</v>
      </c>
    </row>
    <row r="181" spans="8:10" x14ac:dyDescent="0.3">
      <c r="H181" s="3" t="s">
        <v>142</v>
      </c>
      <c r="I181" s="3" t="s">
        <v>300</v>
      </c>
      <c r="J181" s="3" t="s">
        <v>152</v>
      </c>
    </row>
    <row r="182" spans="8:10" x14ac:dyDescent="0.3">
      <c r="H182" s="3" t="s">
        <v>155</v>
      </c>
      <c r="I182" s="3" t="s">
        <v>301</v>
      </c>
      <c r="J182" s="3" t="s">
        <v>152</v>
      </c>
    </row>
    <row r="183" spans="8:10" x14ac:dyDescent="0.3">
      <c r="H183" s="3" t="s">
        <v>142</v>
      </c>
      <c r="I183" s="3" t="s">
        <v>302</v>
      </c>
      <c r="J183" s="3" t="s">
        <v>139</v>
      </c>
    </row>
    <row r="184" spans="8:10" x14ac:dyDescent="0.3">
      <c r="H184" s="3" t="s">
        <v>149</v>
      </c>
      <c r="I184" s="3" t="s">
        <v>265</v>
      </c>
      <c r="J184" s="3" t="s">
        <v>159</v>
      </c>
    </row>
    <row r="185" spans="8:10" x14ac:dyDescent="0.3">
      <c r="H185" s="3" t="s">
        <v>127</v>
      </c>
      <c r="I185" s="3" t="s">
        <v>168</v>
      </c>
      <c r="J185" s="3" t="s">
        <v>152</v>
      </c>
    </row>
    <row r="186" spans="8:10" x14ac:dyDescent="0.3">
      <c r="H186" s="3" t="s">
        <v>122</v>
      </c>
      <c r="I186" s="3" t="s">
        <v>125</v>
      </c>
      <c r="J186" s="3" t="s">
        <v>144</v>
      </c>
    </row>
    <row r="187" spans="8:10" x14ac:dyDescent="0.3">
      <c r="H187" s="3" t="s">
        <v>122</v>
      </c>
      <c r="I187" s="3" t="s">
        <v>303</v>
      </c>
      <c r="J187" s="3" t="s">
        <v>152</v>
      </c>
    </row>
    <row r="188" spans="8:10" x14ac:dyDescent="0.3">
      <c r="H188" s="3" t="s">
        <v>140</v>
      </c>
      <c r="I188" s="3" t="s">
        <v>304</v>
      </c>
      <c r="J188" s="3" t="s">
        <v>134</v>
      </c>
    </row>
    <row r="189" spans="8:10" x14ac:dyDescent="0.3">
      <c r="H189" s="3" t="s">
        <v>142</v>
      </c>
      <c r="I189" s="3" t="s">
        <v>305</v>
      </c>
      <c r="J189" s="3" t="s">
        <v>152</v>
      </c>
    </row>
    <row r="190" spans="8:10" x14ac:dyDescent="0.3">
      <c r="H190" s="3" t="s">
        <v>140</v>
      </c>
      <c r="I190" s="3" t="s">
        <v>306</v>
      </c>
      <c r="J190" s="3" t="s">
        <v>134</v>
      </c>
    </row>
    <row r="191" spans="8:10" x14ac:dyDescent="0.3">
      <c r="H191" s="3" t="s">
        <v>149</v>
      </c>
      <c r="I191" s="3" t="s">
        <v>307</v>
      </c>
      <c r="J191" s="3" t="s">
        <v>129</v>
      </c>
    </row>
    <row r="192" spans="8:10" x14ac:dyDescent="0.3">
      <c r="H192" s="3" t="s">
        <v>122</v>
      </c>
      <c r="I192" s="3" t="s">
        <v>308</v>
      </c>
      <c r="J192" s="3" t="s">
        <v>159</v>
      </c>
    </row>
    <row r="193" spans="8:10" x14ac:dyDescent="0.3">
      <c r="H193" s="3" t="s">
        <v>155</v>
      </c>
      <c r="I193" s="3" t="s">
        <v>278</v>
      </c>
      <c r="J193" s="3" t="s">
        <v>144</v>
      </c>
    </row>
    <row r="194" spans="8:10" x14ac:dyDescent="0.3">
      <c r="H194" s="3" t="s">
        <v>132</v>
      </c>
      <c r="I194" s="3" t="s">
        <v>309</v>
      </c>
      <c r="J194" s="3" t="s">
        <v>134</v>
      </c>
    </row>
    <row r="195" spans="8:10" x14ac:dyDescent="0.3">
      <c r="H195" s="3" t="s">
        <v>149</v>
      </c>
      <c r="I195" s="3" t="s">
        <v>310</v>
      </c>
      <c r="J195" s="3" t="s">
        <v>152</v>
      </c>
    </row>
    <row r="196" spans="8:10" x14ac:dyDescent="0.3">
      <c r="H196" s="3" t="s">
        <v>155</v>
      </c>
      <c r="I196" s="3" t="s">
        <v>311</v>
      </c>
      <c r="J196" s="3" t="s">
        <v>148</v>
      </c>
    </row>
    <row r="197" spans="8:10" x14ac:dyDescent="0.3">
      <c r="H197" s="3" t="s">
        <v>149</v>
      </c>
      <c r="I197" s="3" t="s">
        <v>312</v>
      </c>
      <c r="J197" s="3" t="s">
        <v>173</v>
      </c>
    </row>
    <row r="198" spans="8:10" x14ac:dyDescent="0.3">
      <c r="H198" s="3" t="s">
        <v>122</v>
      </c>
      <c r="I198" s="3" t="s">
        <v>313</v>
      </c>
      <c r="J198" s="3" t="s">
        <v>148</v>
      </c>
    </row>
    <row r="199" spans="8:10" x14ac:dyDescent="0.3">
      <c r="H199" s="3" t="s">
        <v>142</v>
      </c>
      <c r="I199" s="3" t="s">
        <v>233</v>
      </c>
      <c r="J199" s="3" t="s">
        <v>173</v>
      </c>
    </row>
    <row r="200" spans="8:10" x14ac:dyDescent="0.3">
      <c r="H200" s="3" t="s">
        <v>130</v>
      </c>
      <c r="I200" s="3" t="s">
        <v>221</v>
      </c>
      <c r="J200" s="3" t="s">
        <v>152</v>
      </c>
    </row>
    <row r="201" spans="8:10" x14ac:dyDescent="0.3">
      <c r="H201" s="3" t="s">
        <v>132</v>
      </c>
      <c r="I201" s="3" t="s">
        <v>314</v>
      </c>
      <c r="J201" s="3" t="s">
        <v>124</v>
      </c>
    </row>
    <row r="202" spans="8:10" x14ac:dyDescent="0.3">
      <c r="H202" s="3" t="s">
        <v>155</v>
      </c>
      <c r="I202" s="3" t="s">
        <v>315</v>
      </c>
      <c r="J202" s="3" t="s">
        <v>159</v>
      </c>
    </row>
    <row r="203" spans="8:10" x14ac:dyDescent="0.3">
      <c r="H203" s="3" t="s">
        <v>142</v>
      </c>
      <c r="I203" s="3" t="s">
        <v>316</v>
      </c>
      <c r="J203" s="3" t="s">
        <v>144</v>
      </c>
    </row>
    <row r="204" spans="8:10" x14ac:dyDescent="0.3">
      <c r="H204" s="3" t="s">
        <v>155</v>
      </c>
      <c r="I204" s="3" t="s">
        <v>317</v>
      </c>
      <c r="J204" s="3" t="s">
        <v>152</v>
      </c>
    </row>
    <row r="205" spans="8:10" x14ac:dyDescent="0.3">
      <c r="H205" s="3" t="s">
        <v>155</v>
      </c>
      <c r="I205" s="3" t="s">
        <v>301</v>
      </c>
      <c r="J205" s="3" t="s">
        <v>173</v>
      </c>
    </row>
    <row r="206" spans="8:10" x14ac:dyDescent="0.3">
      <c r="H206" s="3" t="s">
        <v>140</v>
      </c>
      <c r="I206" s="3" t="s">
        <v>318</v>
      </c>
      <c r="J206" s="3" t="s">
        <v>144</v>
      </c>
    </row>
    <row r="207" spans="8:10" x14ac:dyDescent="0.3">
      <c r="H207" s="3" t="s">
        <v>155</v>
      </c>
      <c r="I207" s="3" t="s">
        <v>319</v>
      </c>
      <c r="J207" s="3" t="s">
        <v>173</v>
      </c>
    </row>
    <row r="208" spans="8:10" x14ac:dyDescent="0.3">
      <c r="H208" s="3" t="s">
        <v>130</v>
      </c>
      <c r="I208" s="3" t="s">
        <v>320</v>
      </c>
      <c r="J208" s="3" t="s">
        <v>129</v>
      </c>
    </row>
    <row r="209" spans="8:10" x14ac:dyDescent="0.3">
      <c r="H209" s="3" t="s">
        <v>142</v>
      </c>
      <c r="I209" s="3" t="s">
        <v>321</v>
      </c>
      <c r="J209" s="3" t="s">
        <v>152</v>
      </c>
    </row>
    <row r="210" spans="8:10" x14ac:dyDescent="0.3">
      <c r="H210" s="3" t="s">
        <v>149</v>
      </c>
      <c r="I210" s="3" t="s">
        <v>322</v>
      </c>
      <c r="J210" s="3" t="s">
        <v>144</v>
      </c>
    </row>
    <row r="211" spans="8:10" x14ac:dyDescent="0.3">
      <c r="H211" s="3" t="s">
        <v>130</v>
      </c>
      <c r="I211" s="3" t="s">
        <v>323</v>
      </c>
      <c r="J211" s="3" t="s">
        <v>152</v>
      </c>
    </row>
    <row r="212" spans="8:10" x14ac:dyDescent="0.3">
      <c r="H212" s="3" t="s">
        <v>122</v>
      </c>
      <c r="I212" s="3" t="s">
        <v>324</v>
      </c>
      <c r="J212" s="3" t="s">
        <v>139</v>
      </c>
    </row>
    <row r="213" spans="8:10" x14ac:dyDescent="0.3">
      <c r="H213" s="3" t="s">
        <v>122</v>
      </c>
      <c r="I213" s="3" t="s">
        <v>249</v>
      </c>
      <c r="J213" s="3" t="s">
        <v>173</v>
      </c>
    </row>
    <row r="214" spans="8:10" x14ac:dyDescent="0.3">
      <c r="H214" s="3" t="s">
        <v>155</v>
      </c>
      <c r="I214" s="3" t="s">
        <v>202</v>
      </c>
      <c r="J214" s="3" t="s">
        <v>152</v>
      </c>
    </row>
    <row r="215" spans="8:10" x14ac:dyDescent="0.3">
      <c r="H215" s="3" t="s">
        <v>132</v>
      </c>
      <c r="I215" s="3" t="s">
        <v>325</v>
      </c>
      <c r="J215" s="3" t="s">
        <v>129</v>
      </c>
    </row>
    <row r="216" spans="8:10" x14ac:dyDescent="0.3">
      <c r="H216" s="3" t="s">
        <v>155</v>
      </c>
      <c r="I216" s="3" t="s">
        <v>326</v>
      </c>
      <c r="J216" s="3" t="s">
        <v>124</v>
      </c>
    </row>
    <row r="217" spans="8:10" x14ac:dyDescent="0.3">
      <c r="H217" s="3" t="s">
        <v>137</v>
      </c>
      <c r="I217" s="3" t="s">
        <v>327</v>
      </c>
      <c r="J217" s="3" t="s">
        <v>173</v>
      </c>
    </row>
    <row r="218" spans="8:10" x14ac:dyDescent="0.3">
      <c r="H218" s="3" t="s">
        <v>140</v>
      </c>
      <c r="I218" s="3" t="s">
        <v>203</v>
      </c>
      <c r="J218" s="3" t="s">
        <v>124</v>
      </c>
    </row>
    <row r="219" spans="8:10" x14ac:dyDescent="0.3">
      <c r="H219" s="3" t="s">
        <v>149</v>
      </c>
      <c r="I219" s="3" t="s">
        <v>328</v>
      </c>
      <c r="J219" s="3" t="s">
        <v>159</v>
      </c>
    </row>
    <row r="220" spans="8:10" x14ac:dyDescent="0.3">
      <c r="H220" s="3" t="s">
        <v>149</v>
      </c>
      <c r="I220" s="3" t="s">
        <v>329</v>
      </c>
      <c r="J220" s="3" t="s">
        <v>148</v>
      </c>
    </row>
    <row r="221" spans="8:10" x14ac:dyDescent="0.3">
      <c r="H221" s="3" t="s">
        <v>140</v>
      </c>
      <c r="I221" s="3" t="s">
        <v>330</v>
      </c>
      <c r="J221" s="3" t="s">
        <v>159</v>
      </c>
    </row>
    <row r="222" spans="8:10" x14ac:dyDescent="0.3">
      <c r="H222" s="3" t="s">
        <v>132</v>
      </c>
      <c r="I222" s="3" t="s">
        <v>331</v>
      </c>
      <c r="J222" s="3" t="s">
        <v>139</v>
      </c>
    </row>
    <row r="223" spans="8:10" x14ac:dyDescent="0.3">
      <c r="H223" s="3" t="s">
        <v>149</v>
      </c>
      <c r="I223" s="3" t="s">
        <v>287</v>
      </c>
      <c r="J223" s="3" t="s">
        <v>134</v>
      </c>
    </row>
    <row r="224" spans="8:10" x14ac:dyDescent="0.3">
      <c r="H224" s="3" t="s">
        <v>137</v>
      </c>
      <c r="I224" s="3" t="s">
        <v>241</v>
      </c>
      <c r="J224" s="3" t="s">
        <v>144</v>
      </c>
    </row>
    <row r="225" spans="8:10" x14ac:dyDescent="0.3">
      <c r="H225" s="3" t="s">
        <v>122</v>
      </c>
      <c r="I225" s="3" t="s">
        <v>332</v>
      </c>
      <c r="J225" s="3" t="s">
        <v>129</v>
      </c>
    </row>
    <row r="226" spans="8:10" x14ac:dyDescent="0.3">
      <c r="H226" s="3" t="s">
        <v>137</v>
      </c>
      <c r="I226" s="3" t="s">
        <v>333</v>
      </c>
      <c r="J226" s="3" t="s">
        <v>173</v>
      </c>
    </row>
    <row r="227" spans="8:10" x14ac:dyDescent="0.3">
      <c r="H227" s="3" t="s">
        <v>149</v>
      </c>
      <c r="I227" s="3" t="s">
        <v>334</v>
      </c>
      <c r="J227" s="3" t="s">
        <v>134</v>
      </c>
    </row>
    <row r="228" spans="8:10" x14ac:dyDescent="0.3">
      <c r="H228" s="3" t="s">
        <v>127</v>
      </c>
      <c r="I228" s="3" t="s">
        <v>335</v>
      </c>
      <c r="J228" s="3" t="s">
        <v>124</v>
      </c>
    </row>
    <row r="229" spans="8:10" x14ac:dyDescent="0.3">
      <c r="H229" s="3" t="s">
        <v>142</v>
      </c>
      <c r="I229" s="3" t="s">
        <v>336</v>
      </c>
      <c r="J229" s="3" t="s">
        <v>129</v>
      </c>
    </row>
    <row r="230" spans="8:10" x14ac:dyDescent="0.3">
      <c r="H230" s="3" t="s">
        <v>130</v>
      </c>
      <c r="I230" s="3" t="s">
        <v>226</v>
      </c>
      <c r="J230" s="3" t="s">
        <v>134</v>
      </c>
    </row>
    <row r="231" spans="8:10" x14ac:dyDescent="0.3">
      <c r="H231" s="3" t="s">
        <v>127</v>
      </c>
      <c r="I231" s="3" t="s">
        <v>175</v>
      </c>
      <c r="J231" s="3" t="s">
        <v>159</v>
      </c>
    </row>
    <row r="232" spans="8:10" x14ac:dyDescent="0.3">
      <c r="H232" s="3" t="s">
        <v>149</v>
      </c>
      <c r="I232" s="3" t="s">
        <v>310</v>
      </c>
      <c r="J232" s="3" t="s">
        <v>173</v>
      </c>
    </row>
    <row r="233" spans="8:10" x14ac:dyDescent="0.3">
      <c r="H233" s="3" t="s">
        <v>140</v>
      </c>
      <c r="I233" s="3" t="s">
        <v>337</v>
      </c>
      <c r="J233" s="3" t="s">
        <v>148</v>
      </c>
    </row>
    <row r="234" spans="8:10" x14ac:dyDescent="0.3">
      <c r="H234" s="3" t="s">
        <v>155</v>
      </c>
      <c r="I234" s="3" t="s">
        <v>338</v>
      </c>
      <c r="J234" s="3" t="s">
        <v>124</v>
      </c>
    </row>
    <row r="235" spans="8:10" x14ac:dyDescent="0.3">
      <c r="H235" s="3" t="s">
        <v>132</v>
      </c>
      <c r="I235" s="3" t="s">
        <v>339</v>
      </c>
      <c r="J235" s="3" t="s">
        <v>148</v>
      </c>
    </row>
    <row r="236" spans="8:10" x14ac:dyDescent="0.3">
      <c r="H236" s="3" t="s">
        <v>122</v>
      </c>
      <c r="I236" s="3" t="s">
        <v>340</v>
      </c>
      <c r="J236" s="3" t="s">
        <v>126</v>
      </c>
    </row>
    <row r="237" spans="8:10" x14ac:dyDescent="0.3">
      <c r="H237" s="3" t="s">
        <v>137</v>
      </c>
      <c r="I237" s="3" t="s">
        <v>204</v>
      </c>
      <c r="J237" s="3" t="s">
        <v>148</v>
      </c>
    </row>
    <row r="238" spans="8:10" x14ac:dyDescent="0.3">
      <c r="H238" s="3" t="s">
        <v>130</v>
      </c>
      <c r="I238" s="3" t="s">
        <v>341</v>
      </c>
      <c r="J238" s="3" t="s">
        <v>173</v>
      </c>
    </row>
    <row r="239" spans="8:10" x14ac:dyDescent="0.3">
      <c r="H239" s="3" t="s">
        <v>142</v>
      </c>
      <c r="I239" s="3" t="s">
        <v>321</v>
      </c>
      <c r="J239" s="3" t="s">
        <v>159</v>
      </c>
    </row>
    <row r="240" spans="8:10" x14ac:dyDescent="0.3">
      <c r="H240" s="3" t="s">
        <v>135</v>
      </c>
      <c r="I240" s="3" t="s">
        <v>342</v>
      </c>
      <c r="J240" s="3" t="s">
        <v>173</v>
      </c>
    </row>
    <row r="241" spans="8:10" x14ac:dyDescent="0.3">
      <c r="H241" s="3" t="s">
        <v>130</v>
      </c>
      <c r="I241" s="3" t="s">
        <v>237</v>
      </c>
      <c r="J241" s="3" t="s">
        <v>148</v>
      </c>
    </row>
    <row r="242" spans="8:10" x14ac:dyDescent="0.3">
      <c r="H242" s="3" t="s">
        <v>127</v>
      </c>
      <c r="I242" s="3" t="s">
        <v>211</v>
      </c>
      <c r="J242" s="3" t="s">
        <v>139</v>
      </c>
    </row>
    <row r="243" spans="8:10" x14ac:dyDescent="0.3">
      <c r="H243" s="3" t="s">
        <v>137</v>
      </c>
      <c r="I243" s="3" t="s">
        <v>343</v>
      </c>
      <c r="J243" s="3" t="s">
        <v>152</v>
      </c>
    </row>
    <row r="244" spans="8:10" x14ac:dyDescent="0.3">
      <c r="H244" s="3" t="s">
        <v>127</v>
      </c>
      <c r="I244" s="3" t="s">
        <v>344</v>
      </c>
      <c r="J244" s="3" t="s">
        <v>126</v>
      </c>
    </row>
    <row r="245" spans="8:10" x14ac:dyDescent="0.3">
      <c r="H245" s="3" t="s">
        <v>127</v>
      </c>
      <c r="I245" s="3" t="s">
        <v>345</v>
      </c>
      <c r="J245" s="3" t="s">
        <v>126</v>
      </c>
    </row>
    <row r="246" spans="8:10" x14ac:dyDescent="0.3">
      <c r="H246" s="3" t="s">
        <v>122</v>
      </c>
      <c r="I246" s="3" t="s">
        <v>324</v>
      </c>
      <c r="J246" s="3" t="s">
        <v>148</v>
      </c>
    </row>
    <row r="247" spans="8:10" x14ac:dyDescent="0.3">
      <c r="H247" s="3" t="s">
        <v>140</v>
      </c>
      <c r="I247" s="3" t="s">
        <v>346</v>
      </c>
      <c r="J247" s="3" t="s">
        <v>159</v>
      </c>
    </row>
    <row r="248" spans="8:10" x14ac:dyDescent="0.3">
      <c r="H248" s="3" t="s">
        <v>130</v>
      </c>
      <c r="I248" s="3" t="s">
        <v>147</v>
      </c>
      <c r="J248" s="3" t="s">
        <v>152</v>
      </c>
    </row>
    <row r="249" spans="8:10" x14ac:dyDescent="0.3">
      <c r="H249" s="3" t="s">
        <v>122</v>
      </c>
      <c r="I249" s="3" t="s">
        <v>292</v>
      </c>
      <c r="J249" s="3" t="s">
        <v>152</v>
      </c>
    </row>
    <row r="250" spans="8:10" x14ac:dyDescent="0.3">
      <c r="H250" s="3" t="s">
        <v>142</v>
      </c>
      <c r="I250" s="3" t="s">
        <v>347</v>
      </c>
      <c r="J250" s="3" t="s">
        <v>144</v>
      </c>
    </row>
    <row r="251" spans="8:10" x14ac:dyDescent="0.3">
      <c r="H251" s="3" t="s">
        <v>130</v>
      </c>
      <c r="I251" s="3" t="s">
        <v>348</v>
      </c>
      <c r="J251" s="3" t="s">
        <v>124</v>
      </c>
    </row>
    <row r="252" spans="8:10" x14ac:dyDescent="0.3">
      <c r="H252" s="3" t="s">
        <v>155</v>
      </c>
      <c r="I252" s="3" t="s">
        <v>338</v>
      </c>
      <c r="J252" s="3" t="s">
        <v>159</v>
      </c>
    </row>
    <row r="253" spans="8:10" x14ac:dyDescent="0.3">
      <c r="H253" s="3" t="s">
        <v>135</v>
      </c>
      <c r="I253" s="3" t="s">
        <v>349</v>
      </c>
      <c r="J253" s="3" t="s">
        <v>139</v>
      </c>
    </row>
    <row r="254" spans="8:10" x14ac:dyDescent="0.3">
      <c r="H254" s="3" t="s">
        <v>130</v>
      </c>
      <c r="I254" s="3" t="s">
        <v>350</v>
      </c>
      <c r="J254" s="3" t="s">
        <v>126</v>
      </c>
    </row>
    <row r="255" spans="8:10" x14ac:dyDescent="0.3">
      <c r="H255" s="3" t="s">
        <v>149</v>
      </c>
      <c r="I255" s="3" t="s">
        <v>351</v>
      </c>
      <c r="J255" s="3" t="s">
        <v>124</v>
      </c>
    </row>
    <row r="256" spans="8:10" x14ac:dyDescent="0.3">
      <c r="H256" s="3" t="s">
        <v>149</v>
      </c>
      <c r="I256" s="3" t="s">
        <v>352</v>
      </c>
      <c r="J256" s="3" t="s">
        <v>139</v>
      </c>
    </row>
    <row r="257" spans="8:10" x14ac:dyDescent="0.3">
      <c r="H257" s="3" t="s">
        <v>140</v>
      </c>
      <c r="I257" s="3" t="s">
        <v>353</v>
      </c>
      <c r="J257" s="3" t="s">
        <v>159</v>
      </c>
    </row>
    <row r="258" spans="8:10" x14ac:dyDescent="0.3">
      <c r="H258" s="3" t="s">
        <v>149</v>
      </c>
      <c r="I258" s="3" t="s">
        <v>307</v>
      </c>
      <c r="J258" s="3" t="s">
        <v>173</v>
      </c>
    </row>
    <row r="259" spans="8:10" x14ac:dyDescent="0.3">
      <c r="H259" s="3" t="s">
        <v>155</v>
      </c>
      <c r="I259" s="3" t="s">
        <v>354</v>
      </c>
      <c r="J259" s="3" t="s">
        <v>134</v>
      </c>
    </row>
    <row r="260" spans="8:10" x14ac:dyDescent="0.3">
      <c r="H260" s="3" t="s">
        <v>130</v>
      </c>
      <c r="I260" s="3" t="s">
        <v>323</v>
      </c>
      <c r="J260" s="3" t="s">
        <v>124</v>
      </c>
    </row>
    <row r="261" spans="8:10" x14ac:dyDescent="0.3">
      <c r="H261" s="3" t="s">
        <v>155</v>
      </c>
      <c r="I261" s="3" t="s">
        <v>355</v>
      </c>
      <c r="J261" s="3" t="s">
        <v>124</v>
      </c>
    </row>
    <row r="262" spans="8:10" x14ac:dyDescent="0.3">
      <c r="H262" s="3" t="s">
        <v>137</v>
      </c>
      <c r="I262" s="3" t="s">
        <v>356</v>
      </c>
      <c r="J262" s="3" t="s">
        <v>173</v>
      </c>
    </row>
    <row r="263" spans="8:10" x14ac:dyDescent="0.3">
      <c r="H263" s="3" t="s">
        <v>137</v>
      </c>
      <c r="I263" s="3" t="s">
        <v>357</v>
      </c>
      <c r="J263" s="3" t="s">
        <v>144</v>
      </c>
    </row>
    <row r="264" spans="8:10" x14ac:dyDescent="0.3">
      <c r="H264" s="3" t="s">
        <v>130</v>
      </c>
      <c r="I264" s="3" t="s">
        <v>358</v>
      </c>
      <c r="J264" s="3" t="s">
        <v>159</v>
      </c>
    </row>
    <row r="265" spans="8:10" x14ac:dyDescent="0.3">
      <c r="H265" s="3" t="s">
        <v>149</v>
      </c>
      <c r="I265" s="3" t="s">
        <v>307</v>
      </c>
      <c r="J265" s="3" t="s">
        <v>126</v>
      </c>
    </row>
    <row r="266" spans="8:10" x14ac:dyDescent="0.3">
      <c r="H266" s="3" t="s">
        <v>140</v>
      </c>
      <c r="I266" s="3" t="s">
        <v>359</v>
      </c>
      <c r="J266" s="3" t="s">
        <v>152</v>
      </c>
    </row>
    <row r="267" spans="8:10" x14ac:dyDescent="0.3">
      <c r="H267" s="3" t="s">
        <v>149</v>
      </c>
      <c r="I267" s="3" t="s">
        <v>351</v>
      </c>
      <c r="J267" s="3" t="s">
        <v>134</v>
      </c>
    </row>
    <row r="268" spans="8:10" x14ac:dyDescent="0.3">
      <c r="H268" s="3" t="s">
        <v>142</v>
      </c>
      <c r="I268" s="3" t="s">
        <v>274</v>
      </c>
      <c r="J268" s="3" t="s">
        <v>159</v>
      </c>
    </row>
    <row r="269" spans="8:10" x14ac:dyDescent="0.3">
      <c r="H269" s="3" t="s">
        <v>149</v>
      </c>
      <c r="I269" s="3" t="s">
        <v>360</v>
      </c>
      <c r="J269" s="3" t="s">
        <v>148</v>
      </c>
    </row>
    <row r="270" spans="8:10" x14ac:dyDescent="0.3">
      <c r="H270" s="3" t="s">
        <v>135</v>
      </c>
      <c r="I270" s="3" t="s">
        <v>361</v>
      </c>
      <c r="J270" s="3" t="s">
        <v>152</v>
      </c>
    </row>
    <row r="271" spans="8:10" x14ac:dyDescent="0.3">
      <c r="H271" s="3" t="s">
        <v>155</v>
      </c>
      <c r="I271" s="3" t="s">
        <v>262</v>
      </c>
      <c r="J271" s="3" t="s">
        <v>152</v>
      </c>
    </row>
    <row r="272" spans="8:10" x14ac:dyDescent="0.3">
      <c r="H272" s="3" t="s">
        <v>132</v>
      </c>
      <c r="I272" s="3" t="s">
        <v>362</v>
      </c>
      <c r="J272" s="3" t="s">
        <v>148</v>
      </c>
    </row>
    <row r="273" spans="8:10" x14ac:dyDescent="0.3">
      <c r="H273" s="3" t="s">
        <v>135</v>
      </c>
      <c r="I273" s="3" t="s">
        <v>179</v>
      </c>
      <c r="J273" s="3" t="s">
        <v>124</v>
      </c>
    </row>
    <row r="274" spans="8:10" x14ac:dyDescent="0.3">
      <c r="H274" s="3" t="s">
        <v>130</v>
      </c>
      <c r="I274" s="3" t="s">
        <v>363</v>
      </c>
      <c r="J274" s="3" t="s">
        <v>134</v>
      </c>
    </row>
    <row r="275" spans="8:10" x14ac:dyDescent="0.3">
      <c r="H275" s="3" t="s">
        <v>140</v>
      </c>
      <c r="I275" s="3" t="s">
        <v>364</v>
      </c>
      <c r="J275" s="3" t="s">
        <v>134</v>
      </c>
    </row>
    <row r="276" spans="8:10" x14ac:dyDescent="0.3">
      <c r="H276" s="3" t="s">
        <v>132</v>
      </c>
      <c r="I276" s="3" t="s">
        <v>238</v>
      </c>
      <c r="J276" s="3" t="s">
        <v>129</v>
      </c>
    </row>
    <row r="277" spans="8:10" x14ac:dyDescent="0.3">
      <c r="H277" s="3" t="s">
        <v>137</v>
      </c>
      <c r="I277" s="3" t="s">
        <v>365</v>
      </c>
      <c r="J277" s="3" t="s">
        <v>129</v>
      </c>
    </row>
    <row r="278" spans="8:10" x14ac:dyDescent="0.3">
      <c r="H278" s="3" t="s">
        <v>122</v>
      </c>
      <c r="I278" s="3" t="s">
        <v>313</v>
      </c>
      <c r="J278" s="3" t="s">
        <v>173</v>
      </c>
    </row>
    <row r="279" spans="8:10" x14ac:dyDescent="0.3">
      <c r="H279" s="3" t="s">
        <v>135</v>
      </c>
      <c r="I279" s="3" t="s">
        <v>366</v>
      </c>
      <c r="J279" s="3" t="s">
        <v>139</v>
      </c>
    </row>
    <row r="280" spans="8:10" x14ac:dyDescent="0.3">
      <c r="H280" s="3" t="s">
        <v>127</v>
      </c>
      <c r="I280" s="3" t="s">
        <v>367</v>
      </c>
      <c r="J280" s="3" t="s">
        <v>159</v>
      </c>
    </row>
    <row r="281" spans="8:10" x14ac:dyDescent="0.3">
      <c r="H281" s="3" t="s">
        <v>127</v>
      </c>
      <c r="I281" s="3" t="s">
        <v>368</v>
      </c>
      <c r="J281" s="3" t="s">
        <v>173</v>
      </c>
    </row>
    <row r="282" spans="8:10" x14ac:dyDescent="0.3">
      <c r="H282" s="3" t="s">
        <v>140</v>
      </c>
      <c r="I282" s="3" t="s">
        <v>291</v>
      </c>
      <c r="J282" s="3" t="s">
        <v>126</v>
      </c>
    </row>
    <row r="283" spans="8:10" x14ac:dyDescent="0.3">
      <c r="H283" s="3" t="s">
        <v>122</v>
      </c>
      <c r="I283" s="3" t="s">
        <v>332</v>
      </c>
      <c r="J283" s="3" t="s">
        <v>134</v>
      </c>
    </row>
    <row r="284" spans="8:10" x14ac:dyDescent="0.3">
      <c r="H284" s="3" t="s">
        <v>149</v>
      </c>
      <c r="I284" s="3" t="s">
        <v>369</v>
      </c>
      <c r="J284" s="3" t="s">
        <v>152</v>
      </c>
    </row>
    <row r="285" spans="8:10" x14ac:dyDescent="0.3">
      <c r="H285" s="3" t="s">
        <v>149</v>
      </c>
      <c r="I285" s="3" t="s">
        <v>328</v>
      </c>
      <c r="J285" s="3" t="s">
        <v>144</v>
      </c>
    </row>
    <row r="286" spans="8:10" x14ac:dyDescent="0.3">
      <c r="H286" s="3" t="s">
        <v>127</v>
      </c>
      <c r="I286" s="3" t="s">
        <v>370</v>
      </c>
      <c r="J286" s="3" t="s">
        <v>159</v>
      </c>
    </row>
    <row r="287" spans="8:10" x14ac:dyDescent="0.3">
      <c r="H287" s="3" t="s">
        <v>130</v>
      </c>
      <c r="I287" s="3" t="s">
        <v>146</v>
      </c>
      <c r="J287" s="3" t="s">
        <v>126</v>
      </c>
    </row>
    <row r="288" spans="8:10" x14ac:dyDescent="0.3">
      <c r="H288" s="3" t="s">
        <v>127</v>
      </c>
      <c r="I288" s="3" t="s">
        <v>345</v>
      </c>
      <c r="J288" s="3" t="s">
        <v>148</v>
      </c>
    </row>
    <row r="289" spans="8:10" x14ac:dyDescent="0.3">
      <c r="H289" s="3" t="s">
        <v>130</v>
      </c>
      <c r="I289" s="3" t="s">
        <v>371</v>
      </c>
      <c r="J289" s="3" t="s">
        <v>124</v>
      </c>
    </row>
    <row r="290" spans="8:10" x14ac:dyDescent="0.3">
      <c r="H290" s="3" t="s">
        <v>137</v>
      </c>
      <c r="I290" s="3" t="s">
        <v>372</v>
      </c>
      <c r="J290" s="3" t="s">
        <v>134</v>
      </c>
    </row>
    <row r="291" spans="8:10" x14ac:dyDescent="0.3">
      <c r="H291" s="3" t="s">
        <v>122</v>
      </c>
      <c r="I291" s="3" t="s">
        <v>292</v>
      </c>
      <c r="J291" s="3" t="s">
        <v>124</v>
      </c>
    </row>
    <row r="292" spans="8:10" x14ac:dyDescent="0.3">
      <c r="H292" s="3" t="s">
        <v>140</v>
      </c>
      <c r="I292" s="3" t="s">
        <v>291</v>
      </c>
      <c r="J292" s="3" t="s">
        <v>134</v>
      </c>
    </row>
    <row r="293" spans="8:10" x14ac:dyDescent="0.3">
      <c r="H293" s="3" t="s">
        <v>122</v>
      </c>
      <c r="I293" s="3" t="s">
        <v>207</v>
      </c>
      <c r="J293" s="3" t="s">
        <v>134</v>
      </c>
    </row>
    <row r="294" spans="8:10" x14ac:dyDescent="0.3">
      <c r="H294" s="3" t="s">
        <v>132</v>
      </c>
      <c r="I294" s="3" t="s">
        <v>309</v>
      </c>
      <c r="J294" s="3" t="s">
        <v>144</v>
      </c>
    </row>
    <row r="295" spans="8:10" x14ac:dyDescent="0.3">
      <c r="H295" s="3" t="s">
        <v>127</v>
      </c>
      <c r="I295" s="3" t="s">
        <v>373</v>
      </c>
      <c r="J295" s="3" t="s">
        <v>124</v>
      </c>
    </row>
    <row r="296" spans="8:10" x14ac:dyDescent="0.3">
      <c r="H296" s="3" t="s">
        <v>137</v>
      </c>
      <c r="I296" s="3" t="s">
        <v>374</v>
      </c>
      <c r="J296" s="3" t="s">
        <v>148</v>
      </c>
    </row>
    <row r="297" spans="8:10" x14ac:dyDescent="0.3">
      <c r="H297" s="3" t="s">
        <v>137</v>
      </c>
      <c r="I297" s="3" t="s">
        <v>375</v>
      </c>
      <c r="J297" s="3" t="s">
        <v>124</v>
      </c>
    </row>
    <row r="298" spans="8:10" x14ac:dyDescent="0.3">
      <c r="H298" s="3" t="s">
        <v>137</v>
      </c>
      <c r="I298" s="3" t="s">
        <v>376</v>
      </c>
      <c r="J298" s="3" t="s">
        <v>173</v>
      </c>
    </row>
    <row r="299" spans="8:10" x14ac:dyDescent="0.3">
      <c r="H299" s="3" t="s">
        <v>127</v>
      </c>
      <c r="I299" s="3" t="s">
        <v>167</v>
      </c>
      <c r="J299" s="3" t="s">
        <v>129</v>
      </c>
    </row>
    <row r="300" spans="8:10" x14ac:dyDescent="0.3">
      <c r="H300" s="3" t="s">
        <v>155</v>
      </c>
      <c r="I300" s="3" t="s">
        <v>377</v>
      </c>
      <c r="J300" s="3" t="s">
        <v>124</v>
      </c>
    </row>
    <row r="301" spans="8:10" x14ac:dyDescent="0.3">
      <c r="H301" s="3" t="s">
        <v>122</v>
      </c>
      <c r="I301" s="3" t="s">
        <v>378</v>
      </c>
      <c r="J301" s="3" t="s">
        <v>126</v>
      </c>
    </row>
    <row r="302" spans="8:10" x14ac:dyDescent="0.3">
      <c r="H302" s="3" t="s">
        <v>130</v>
      </c>
      <c r="I302" s="3" t="s">
        <v>379</v>
      </c>
      <c r="J302" s="3" t="s">
        <v>159</v>
      </c>
    </row>
    <row r="303" spans="8:10" x14ac:dyDescent="0.3">
      <c r="H303" s="3" t="s">
        <v>149</v>
      </c>
      <c r="I303" s="3" t="s">
        <v>380</v>
      </c>
      <c r="J303" s="3" t="s">
        <v>159</v>
      </c>
    </row>
    <row r="304" spans="8:10" x14ac:dyDescent="0.3">
      <c r="H304" s="3" t="s">
        <v>140</v>
      </c>
      <c r="I304" s="3" t="s">
        <v>381</v>
      </c>
      <c r="J304" s="3" t="s">
        <v>159</v>
      </c>
    </row>
    <row r="305" spans="8:10" x14ac:dyDescent="0.3">
      <c r="H305" s="3" t="s">
        <v>122</v>
      </c>
      <c r="I305" s="3" t="s">
        <v>382</v>
      </c>
      <c r="J305" s="3" t="s">
        <v>144</v>
      </c>
    </row>
    <row r="306" spans="8:10" x14ac:dyDescent="0.3">
      <c r="H306" s="3" t="s">
        <v>137</v>
      </c>
      <c r="I306" s="3" t="s">
        <v>383</v>
      </c>
      <c r="J306" s="3" t="s">
        <v>152</v>
      </c>
    </row>
    <row r="307" spans="8:10" x14ac:dyDescent="0.3">
      <c r="H307" s="3" t="s">
        <v>132</v>
      </c>
      <c r="I307" s="3" t="s">
        <v>309</v>
      </c>
      <c r="J307" s="3" t="s">
        <v>152</v>
      </c>
    </row>
    <row r="308" spans="8:10" x14ac:dyDescent="0.3">
      <c r="H308" s="3" t="s">
        <v>127</v>
      </c>
      <c r="I308" s="3" t="s">
        <v>384</v>
      </c>
      <c r="J308" s="3" t="s">
        <v>173</v>
      </c>
    </row>
    <row r="309" spans="8:10" x14ac:dyDescent="0.3">
      <c r="H309" s="3" t="s">
        <v>122</v>
      </c>
      <c r="I309" s="3" t="s">
        <v>313</v>
      </c>
      <c r="J309" s="3" t="s">
        <v>126</v>
      </c>
    </row>
    <row r="310" spans="8:10" x14ac:dyDescent="0.3">
      <c r="H310" s="3" t="s">
        <v>140</v>
      </c>
      <c r="I310" s="3" t="s">
        <v>172</v>
      </c>
      <c r="J310" s="3" t="s">
        <v>134</v>
      </c>
    </row>
    <row r="311" spans="8:10" x14ac:dyDescent="0.3">
      <c r="H311" s="3" t="s">
        <v>137</v>
      </c>
      <c r="I311" s="3" t="s">
        <v>385</v>
      </c>
      <c r="J311" s="3" t="s">
        <v>134</v>
      </c>
    </row>
    <row r="312" spans="8:10" x14ac:dyDescent="0.3">
      <c r="H312" s="3" t="s">
        <v>132</v>
      </c>
      <c r="I312" s="3" t="s">
        <v>386</v>
      </c>
      <c r="J312" s="3" t="s">
        <v>148</v>
      </c>
    </row>
    <row r="313" spans="8:10" x14ac:dyDescent="0.3">
      <c r="H313" s="3" t="s">
        <v>140</v>
      </c>
      <c r="I313" s="3" t="s">
        <v>306</v>
      </c>
      <c r="J313" s="3" t="s">
        <v>124</v>
      </c>
    </row>
    <row r="314" spans="8:10" x14ac:dyDescent="0.3">
      <c r="H314" s="3" t="s">
        <v>140</v>
      </c>
      <c r="I314" s="3" t="s">
        <v>288</v>
      </c>
      <c r="J314" s="3" t="s">
        <v>129</v>
      </c>
    </row>
    <row r="315" spans="8:10" x14ac:dyDescent="0.3">
      <c r="H315" s="3" t="s">
        <v>132</v>
      </c>
      <c r="I315" s="3" t="s">
        <v>387</v>
      </c>
      <c r="J315" s="3" t="s">
        <v>173</v>
      </c>
    </row>
    <row r="316" spans="8:10" x14ac:dyDescent="0.3">
      <c r="H316" s="3" t="s">
        <v>132</v>
      </c>
      <c r="I316" s="3" t="s">
        <v>388</v>
      </c>
      <c r="J316" s="3" t="s">
        <v>134</v>
      </c>
    </row>
    <row r="317" spans="8:10" x14ac:dyDescent="0.3">
      <c r="H317" s="3" t="s">
        <v>127</v>
      </c>
      <c r="I317" s="3" t="s">
        <v>389</v>
      </c>
      <c r="J317" s="3" t="s">
        <v>124</v>
      </c>
    </row>
    <row r="318" spans="8:10" x14ac:dyDescent="0.3">
      <c r="H318" s="3" t="s">
        <v>155</v>
      </c>
      <c r="I318" s="3" t="s">
        <v>390</v>
      </c>
      <c r="J318" s="3" t="s">
        <v>124</v>
      </c>
    </row>
    <row r="319" spans="8:10" x14ac:dyDescent="0.3">
      <c r="H319" s="3" t="s">
        <v>142</v>
      </c>
      <c r="I319" s="3" t="s">
        <v>391</v>
      </c>
      <c r="J319" s="3" t="s">
        <v>129</v>
      </c>
    </row>
    <row r="320" spans="8:10" x14ac:dyDescent="0.3">
      <c r="H320" s="3" t="s">
        <v>130</v>
      </c>
      <c r="I320" s="3" t="s">
        <v>392</v>
      </c>
      <c r="J320" s="3" t="s">
        <v>144</v>
      </c>
    </row>
    <row r="321" spans="8:10" x14ac:dyDescent="0.3">
      <c r="H321" s="3" t="s">
        <v>140</v>
      </c>
      <c r="I321" s="3" t="s">
        <v>393</v>
      </c>
      <c r="J321" s="3" t="s">
        <v>129</v>
      </c>
    </row>
    <row r="322" spans="8:10" x14ac:dyDescent="0.3">
      <c r="H322" s="3" t="s">
        <v>137</v>
      </c>
      <c r="I322" s="3" t="s">
        <v>327</v>
      </c>
      <c r="J322" s="3" t="s">
        <v>134</v>
      </c>
    </row>
    <row r="323" spans="8:10" x14ac:dyDescent="0.3">
      <c r="H323" s="3" t="s">
        <v>137</v>
      </c>
      <c r="I323" s="3" t="s">
        <v>394</v>
      </c>
      <c r="J323" s="3" t="s">
        <v>152</v>
      </c>
    </row>
    <row r="324" spans="8:10" x14ac:dyDescent="0.3">
      <c r="H324" s="3" t="s">
        <v>137</v>
      </c>
      <c r="I324" s="3" t="s">
        <v>395</v>
      </c>
      <c r="J324" s="3" t="s">
        <v>124</v>
      </c>
    </row>
    <row r="325" spans="8:10" x14ac:dyDescent="0.3">
      <c r="H325" s="3" t="s">
        <v>140</v>
      </c>
      <c r="I325" s="3" t="s">
        <v>199</v>
      </c>
      <c r="J325" s="3" t="s">
        <v>139</v>
      </c>
    </row>
    <row r="326" spans="8:10" x14ac:dyDescent="0.3">
      <c r="H326" s="3" t="s">
        <v>155</v>
      </c>
      <c r="I326" s="3" t="s">
        <v>191</v>
      </c>
      <c r="J326" s="3" t="s">
        <v>173</v>
      </c>
    </row>
    <row r="327" spans="8:10" x14ac:dyDescent="0.3">
      <c r="H327" s="3" t="s">
        <v>149</v>
      </c>
      <c r="I327" s="3" t="s">
        <v>205</v>
      </c>
      <c r="J327" s="3" t="s">
        <v>124</v>
      </c>
    </row>
    <row r="328" spans="8:10" x14ac:dyDescent="0.3">
      <c r="H328" s="3" t="s">
        <v>149</v>
      </c>
      <c r="I328" s="3" t="s">
        <v>369</v>
      </c>
      <c r="J328" s="3" t="s">
        <v>144</v>
      </c>
    </row>
    <row r="329" spans="8:10" x14ac:dyDescent="0.3">
      <c r="H329" s="3" t="s">
        <v>130</v>
      </c>
      <c r="I329" s="3" t="s">
        <v>131</v>
      </c>
      <c r="J329" s="3" t="s">
        <v>144</v>
      </c>
    </row>
    <row r="330" spans="8:10" x14ac:dyDescent="0.3">
      <c r="H330" s="3" t="s">
        <v>149</v>
      </c>
      <c r="I330" s="3" t="s">
        <v>352</v>
      </c>
      <c r="J330" s="3" t="s">
        <v>144</v>
      </c>
    </row>
    <row r="331" spans="8:10" x14ac:dyDescent="0.3">
      <c r="H331" s="3" t="s">
        <v>132</v>
      </c>
      <c r="I331" s="3" t="s">
        <v>396</v>
      </c>
      <c r="J331" s="3" t="s">
        <v>173</v>
      </c>
    </row>
    <row r="332" spans="8:10" x14ac:dyDescent="0.3">
      <c r="H332" s="3" t="s">
        <v>127</v>
      </c>
      <c r="I332" s="3" t="s">
        <v>370</v>
      </c>
      <c r="J332" s="3" t="s">
        <v>134</v>
      </c>
    </row>
    <row r="333" spans="8:10" x14ac:dyDescent="0.3">
      <c r="H333" s="3" t="s">
        <v>155</v>
      </c>
      <c r="I333" s="3" t="s">
        <v>297</v>
      </c>
      <c r="J333" s="3" t="s">
        <v>148</v>
      </c>
    </row>
    <row r="334" spans="8:10" x14ac:dyDescent="0.3">
      <c r="H334" s="3" t="s">
        <v>130</v>
      </c>
      <c r="I334" s="3" t="s">
        <v>397</v>
      </c>
      <c r="J334" s="3" t="s">
        <v>129</v>
      </c>
    </row>
    <row r="335" spans="8:10" x14ac:dyDescent="0.3">
      <c r="H335" s="3" t="s">
        <v>122</v>
      </c>
      <c r="I335" s="3" t="s">
        <v>227</v>
      </c>
      <c r="J335" s="3" t="s">
        <v>139</v>
      </c>
    </row>
    <row r="336" spans="8:10" x14ac:dyDescent="0.3">
      <c r="H336" s="3" t="s">
        <v>142</v>
      </c>
      <c r="I336" s="3" t="s">
        <v>398</v>
      </c>
      <c r="J336" s="3" t="s">
        <v>144</v>
      </c>
    </row>
    <row r="337" spans="8:10" x14ac:dyDescent="0.3">
      <c r="H337" s="3" t="s">
        <v>137</v>
      </c>
      <c r="I337" s="3" t="s">
        <v>395</v>
      </c>
      <c r="J337" s="3" t="s">
        <v>173</v>
      </c>
    </row>
    <row r="338" spans="8:10" x14ac:dyDescent="0.3">
      <c r="H338" s="3" t="s">
        <v>155</v>
      </c>
      <c r="I338" s="3" t="s">
        <v>399</v>
      </c>
      <c r="J338" s="3" t="s">
        <v>134</v>
      </c>
    </row>
    <row r="339" spans="8:10" x14ac:dyDescent="0.3">
      <c r="H339" s="3" t="s">
        <v>130</v>
      </c>
      <c r="I339" s="3" t="s">
        <v>400</v>
      </c>
      <c r="J339" s="3" t="s">
        <v>148</v>
      </c>
    </row>
    <row r="340" spans="8:10" x14ac:dyDescent="0.3">
      <c r="H340" s="3" t="s">
        <v>130</v>
      </c>
      <c r="I340" s="3" t="s">
        <v>221</v>
      </c>
      <c r="J340" s="3" t="s">
        <v>134</v>
      </c>
    </row>
    <row r="341" spans="8:10" x14ac:dyDescent="0.3">
      <c r="H341" s="3" t="s">
        <v>137</v>
      </c>
      <c r="I341" s="3" t="s">
        <v>401</v>
      </c>
      <c r="J341" s="3" t="s">
        <v>144</v>
      </c>
    </row>
    <row r="342" spans="8:10" x14ac:dyDescent="0.3">
      <c r="H342" s="3" t="s">
        <v>149</v>
      </c>
      <c r="I342" s="3" t="s">
        <v>257</v>
      </c>
      <c r="J342" s="3" t="s">
        <v>152</v>
      </c>
    </row>
    <row r="343" spans="8:10" x14ac:dyDescent="0.3">
      <c r="H343" s="3" t="s">
        <v>132</v>
      </c>
      <c r="I343" s="3" t="s">
        <v>402</v>
      </c>
      <c r="J343" s="3" t="s">
        <v>126</v>
      </c>
    </row>
    <row r="344" spans="8:10" x14ac:dyDescent="0.3">
      <c r="H344" s="3" t="s">
        <v>149</v>
      </c>
      <c r="I344" s="3" t="s">
        <v>334</v>
      </c>
      <c r="J344" s="3" t="s">
        <v>159</v>
      </c>
    </row>
    <row r="345" spans="8:10" x14ac:dyDescent="0.3">
      <c r="H345" s="3" t="s">
        <v>142</v>
      </c>
      <c r="I345" s="3" t="s">
        <v>403</v>
      </c>
      <c r="J345" s="3" t="s">
        <v>134</v>
      </c>
    </row>
    <row r="346" spans="8:10" x14ac:dyDescent="0.3">
      <c r="H346" s="3" t="s">
        <v>130</v>
      </c>
      <c r="I346" s="3" t="s">
        <v>404</v>
      </c>
      <c r="J346" s="3" t="s">
        <v>129</v>
      </c>
    </row>
    <row r="347" spans="8:10" x14ac:dyDescent="0.3">
      <c r="H347" s="3" t="s">
        <v>135</v>
      </c>
      <c r="I347" s="3" t="s">
        <v>405</v>
      </c>
      <c r="J347" s="3" t="s">
        <v>144</v>
      </c>
    </row>
    <row r="348" spans="8:10" x14ac:dyDescent="0.3">
      <c r="H348" s="3" t="s">
        <v>135</v>
      </c>
      <c r="I348" s="3" t="s">
        <v>406</v>
      </c>
      <c r="J348" s="3" t="s">
        <v>144</v>
      </c>
    </row>
    <row r="349" spans="8:10" x14ac:dyDescent="0.3">
      <c r="H349" s="3" t="s">
        <v>130</v>
      </c>
      <c r="I349" s="3" t="s">
        <v>158</v>
      </c>
      <c r="J349" s="3" t="s">
        <v>144</v>
      </c>
    </row>
    <row r="350" spans="8:10" x14ac:dyDescent="0.3">
      <c r="H350" s="3" t="s">
        <v>130</v>
      </c>
      <c r="I350" s="3" t="s">
        <v>131</v>
      </c>
      <c r="J350" s="3" t="s">
        <v>148</v>
      </c>
    </row>
    <row r="351" spans="8:10" x14ac:dyDescent="0.3">
      <c r="H351" s="3" t="s">
        <v>127</v>
      </c>
      <c r="I351" s="3" t="s">
        <v>187</v>
      </c>
      <c r="J351" s="3" t="s">
        <v>139</v>
      </c>
    </row>
    <row r="352" spans="8:10" x14ac:dyDescent="0.3">
      <c r="H352" s="3" t="s">
        <v>127</v>
      </c>
      <c r="I352" s="3" t="s">
        <v>407</v>
      </c>
      <c r="J352" s="3" t="s">
        <v>148</v>
      </c>
    </row>
    <row r="353" spans="8:10" x14ac:dyDescent="0.3">
      <c r="H353" s="3" t="s">
        <v>130</v>
      </c>
      <c r="I353" s="3" t="s">
        <v>408</v>
      </c>
      <c r="J353" s="3" t="s">
        <v>124</v>
      </c>
    </row>
    <row r="354" spans="8:10" x14ac:dyDescent="0.3">
      <c r="H354" s="3" t="s">
        <v>137</v>
      </c>
      <c r="I354" s="3" t="s">
        <v>194</v>
      </c>
      <c r="J354" s="3" t="s">
        <v>148</v>
      </c>
    </row>
    <row r="355" spans="8:10" x14ac:dyDescent="0.3">
      <c r="H355" s="3" t="s">
        <v>149</v>
      </c>
      <c r="I355" s="3" t="s">
        <v>200</v>
      </c>
      <c r="J355" s="3" t="s">
        <v>144</v>
      </c>
    </row>
    <row r="356" spans="8:10" x14ac:dyDescent="0.3">
      <c r="H356" s="3" t="s">
        <v>127</v>
      </c>
      <c r="I356" s="3" t="s">
        <v>409</v>
      </c>
      <c r="J356" s="3" t="s">
        <v>173</v>
      </c>
    </row>
    <row r="357" spans="8:10" x14ac:dyDescent="0.3">
      <c r="H357" s="3" t="s">
        <v>149</v>
      </c>
      <c r="I357" s="3" t="s">
        <v>380</v>
      </c>
      <c r="J357" s="3" t="s">
        <v>144</v>
      </c>
    </row>
    <row r="358" spans="8:10" x14ac:dyDescent="0.3">
      <c r="H358" s="3" t="s">
        <v>137</v>
      </c>
      <c r="I358" s="3" t="s">
        <v>213</v>
      </c>
      <c r="J358" s="3" t="s">
        <v>129</v>
      </c>
    </row>
    <row r="359" spans="8:10" x14ac:dyDescent="0.3">
      <c r="H359" s="3" t="s">
        <v>130</v>
      </c>
      <c r="I359" s="3" t="s">
        <v>294</v>
      </c>
      <c r="J359" s="3" t="s">
        <v>139</v>
      </c>
    </row>
    <row r="360" spans="8:10" x14ac:dyDescent="0.3">
      <c r="H360" s="3" t="s">
        <v>149</v>
      </c>
      <c r="I360" s="3" t="s">
        <v>410</v>
      </c>
      <c r="J360" s="3" t="s">
        <v>139</v>
      </c>
    </row>
    <row r="361" spans="8:10" x14ac:dyDescent="0.3">
      <c r="H361" s="3" t="s">
        <v>135</v>
      </c>
      <c r="I361" s="3" t="s">
        <v>206</v>
      </c>
      <c r="J361" s="3" t="s">
        <v>129</v>
      </c>
    </row>
    <row r="362" spans="8:10" x14ac:dyDescent="0.3">
      <c r="H362" s="3" t="s">
        <v>142</v>
      </c>
      <c r="I362" s="3" t="s">
        <v>216</v>
      </c>
      <c r="J362" s="3" t="s">
        <v>173</v>
      </c>
    </row>
    <row r="363" spans="8:10" x14ac:dyDescent="0.3">
      <c r="H363" s="3" t="s">
        <v>130</v>
      </c>
      <c r="I363" s="3" t="s">
        <v>237</v>
      </c>
      <c r="J363" s="3" t="s">
        <v>126</v>
      </c>
    </row>
    <row r="364" spans="8:10" x14ac:dyDescent="0.3">
      <c r="H364" s="3" t="s">
        <v>149</v>
      </c>
      <c r="I364" s="3" t="s">
        <v>410</v>
      </c>
      <c r="J364" s="3" t="s">
        <v>134</v>
      </c>
    </row>
    <row r="365" spans="8:10" x14ac:dyDescent="0.3">
      <c r="H365" s="3" t="s">
        <v>132</v>
      </c>
      <c r="I365" s="3" t="s">
        <v>411</v>
      </c>
      <c r="J365" s="3" t="s">
        <v>126</v>
      </c>
    </row>
    <row r="366" spans="8:10" x14ac:dyDescent="0.3">
      <c r="H366" s="3" t="s">
        <v>127</v>
      </c>
      <c r="I366" s="3" t="s">
        <v>412</v>
      </c>
      <c r="J366" s="3" t="s">
        <v>139</v>
      </c>
    </row>
    <row r="367" spans="8:10" x14ac:dyDescent="0.3">
      <c r="H367" s="3" t="s">
        <v>140</v>
      </c>
      <c r="I367" s="3" t="s">
        <v>219</v>
      </c>
      <c r="J367" s="3" t="s">
        <v>139</v>
      </c>
    </row>
    <row r="368" spans="8:10" x14ac:dyDescent="0.3">
      <c r="H368" s="3" t="s">
        <v>127</v>
      </c>
      <c r="I368" s="3" t="s">
        <v>367</v>
      </c>
      <c r="J368" s="3" t="s">
        <v>126</v>
      </c>
    </row>
    <row r="369" spans="8:10" x14ac:dyDescent="0.3">
      <c r="H369" s="3" t="s">
        <v>130</v>
      </c>
      <c r="I369" s="3" t="s">
        <v>161</v>
      </c>
      <c r="J369" s="3" t="s">
        <v>126</v>
      </c>
    </row>
    <row r="370" spans="8:10" x14ac:dyDescent="0.3">
      <c r="H370" s="3" t="s">
        <v>127</v>
      </c>
      <c r="I370" s="3" t="s">
        <v>384</v>
      </c>
      <c r="J370" s="3" t="s">
        <v>134</v>
      </c>
    </row>
    <row r="371" spans="8:10" x14ac:dyDescent="0.3">
      <c r="H371" s="3" t="s">
        <v>149</v>
      </c>
      <c r="I371" s="3" t="s">
        <v>351</v>
      </c>
      <c r="J371" s="3" t="s">
        <v>139</v>
      </c>
    </row>
    <row r="372" spans="8:10" x14ac:dyDescent="0.3">
      <c r="H372" s="3" t="s">
        <v>132</v>
      </c>
      <c r="I372" s="3" t="s">
        <v>190</v>
      </c>
      <c r="J372" s="3" t="s">
        <v>129</v>
      </c>
    </row>
    <row r="373" spans="8:10" x14ac:dyDescent="0.3">
      <c r="H373" s="3" t="s">
        <v>127</v>
      </c>
      <c r="I373" s="3" t="s">
        <v>413</v>
      </c>
      <c r="J373" s="3" t="s">
        <v>144</v>
      </c>
    </row>
    <row r="374" spans="8:10" x14ac:dyDescent="0.3">
      <c r="H374" s="3" t="s">
        <v>130</v>
      </c>
      <c r="I374" s="3" t="s">
        <v>363</v>
      </c>
      <c r="J374" s="3" t="s">
        <v>129</v>
      </c>
    </row>
    <row r="375" spans="8:10" x14ac:dyDescent="0.3">
      <c r="H375" s="3" t="s">
        <v>132</v>
      </c>
      <c r="I375" s="3" t="s">
        <v>414</v>
      </c>
      <c r="J375" s="3" t="s">
        <v>134</v>
      </c>
    </row>
    <row r="376" spans="8:10" x14ac:dyDescent="0.3">
      <c r="H376" s="3" t="s">
        <v>142</v>
      </c>
      <c r="I376" s="3" t="s">
        <v>403</v>
      </c>
      <c r="J376" s="3" t="s">
        <v>144</v>
      </c>
    </row>
    <row r="377" spans="8:10" x14ac:dyDescent="0.3">
      <c r="H377" s="3" t="s">
        <v>155</v>
      </c>
      <c r="I377" s="3" t="s">
        <v>215</v>
      </c>
      <c r="J377" s="3" t="s">
        <v>139</v>
      </c>
    </row>
    <row r="378" spans="8:10" x14ac:dyDescent="0.3">
      <c r="H378" s="3" t="s">
        <v>140</v>
      </c>
      <c r="I378" s="3" t="s">
        <v>415</v>
      </c>
      <c r="J378" s="3" t="s">
        <v>129</v>
      </c>
    </row>
    <row r="379" spans="8:10" x14ac:dyDescent="0.3">
      <c r="H379" s="3" t="s">
        <v>135</v>
      </c>
      <c r="I379" s="3" t="s">
        <v>231</v>
      </c>
      <c r="J379" s="3" t="s">
        <v>134</v>
      </c>
    </row>
    <row r="380" spans="8:10" x14ac:dyDescent="0.3">
      <c r="H380" s="3" t="s">
        <v>140</v>
      </c>
      <c r="I380" s="3" t="s">
        <v>318</v>
      </c>
      <c r="J380" s="3" t="s">
        <v>134</v>
      </c>
    </row>
    <row r="381" spans="8:10" x14ac:dyDescent="0.3">
      <c r="H381" s="3" t="s">
        <v>155</v>
      </c>
      <c r="I381" s="3" t="s">
        <v>248</v>
      </c>
      <c r="J381" s="3" t="s">
        <v>148</v>
      </c>
    </row>
    <row r="382" spans="8:10" x14ac:dyDescent="0.3">
      <c r="H382" s="3" t="s">
        <v>132</v>
      </c>
      <c r="I382" s="3" t="s">
        <v>416</v>
      </c>
      <c r="J382" s="3" t="s">
        <v>139</v>
      </c>
    </row>
    <row r="383" spans="8:10" x14ac:dyDescent="0.3">
      <c r="H383" s="3" t="s">
        <v>130</v>
      </c>
      <c r="I383" s="3" t="s">
        <v>341</v>
      </c>
      <c r="J383" s="3" t="s">
        <v>126</v>
      </c>
    </row>
    <row r="384" spans="8:10" x14ac:dyDescent="0.3">
      <c r="H384" s="3" t="s">
        <v>137</v>
      </c>
      <c r="I384" s="3" t="s">
        <v>374</v>
      </c>
      <c r="J384" s="3" t="s">
        <v>124</v>
      </c>
    </row>
    <row r="385" spans="8:10" x14ac:dyDescent="0.3">
      <c r="H385" s="3" t="s">
        <v>135</v>
      </c>
      <c r="I385" s="3" t="s">
        <v>417</v>
      </c>
      <c r="J385" s="3" t="s">
        <v>152</v>
      </c>
    </row>
    <row r="386" spans="8:10" x14ac:dyDescent="0.3">
      <c r="H386" s="3" t="s">
        <v>149</v>
      </c>
      <c r="I386" s="3" t="s">
        <v>360</v>
      </c>
      <c r="J386" s="3" t="s">
        <v>159</v>
      </c>
    </row>
    <row r="387" spans="8:10" x14ac:dyDescent="0.3">
      <c r="H387" s="3" t="s">
        <v>142</v>
      </c>
      <c r="I387" s="3" t="s">
        <v>418</v>
      </c>
      <c r="J387" s="3" t="s">
        <v>129</v>
      </c>
    </row>
    <row r="388" spans="8:10" x14ac:dyDescent="0.3">
      <c r="H388" s="3" t="s">
        <v>137</v>
      </c>
      <c r="I388" s="3" t="s">
        <v>395</v>
      </c>
      <c r="J388" s="3" t="s">
        <v>148</v>
      </c>
    </row>
    <row r="389" spans="8:10" x14ac:dyDescent="0.3">
      <c r="H389" s="3" t="s">
        <v>155</v>
      </c>
      <c r="I389" s="3" t="s">
        <v>419</v>
      </c>
      <c r="J389" s="3" t="s">
        <v>173</v>
      </c>
    </row>
    <row r="390" spans="8:10" x14ac:dyDescent="0.3">
      <c r="H390" s="3" t="s">
        <v>130</v>
      </c>
      <c r="I390" s="3" t="s">
        <v>158</v>
      </c>
      <c r="J390" s="3" t="s">
        <v>152</v>
      </c>
    </row>
    <row r="391" spans="8:10" x14ac:dyDescent="0.3">
      <c r="H391" s="3" t="s">
        <v>149</v>
      </c>
      <c r="I391" s="3" t="s">
        <v>205</v>
      </c>
      <c r="J391" s="3" t="s">
        <v>159</v>
      </c>
    </row>
    <row r="392" spans="8:10" x14ac:dyDescent="0.3">
      <c r="H392" s="3" t="s">
        <v>149</v>
      </c>
      <c r="I392" s="3" t="s">
        <v>420</v>
      </c>
      <c r="J392" s="3" t="s">
        <v>139</v>
      </c>
    </row>
    <row r="393" spans="8:10" x14ac:dyDescent="0.3">
      <c r="H393" s="3" t="s">
        <v>132</v>
      </c>
      <c r="I393" s="3" t="s">
        <v>421</v>
      </c>
      <c r="J393" s="3" t="s">
        <v>126</v>
      </c>
    </row>
    <row r="394" spans="8:10" x14ac:dyDescent="0.3">
      <c r="H394" s="3" t="s">
        <v>142</v>
      </c>
      <c r="I394" s="3" t="s">
        <v>266</v>
      </c>
      <c r="J394" s="3" t="s">
        <v>173</v>
      </c>
    </row>
    <row r="395" spans="8:10" x14ac:dyDescent="0.3">
      <c r="H395" s="3" t="s">
        <v>130</v>
      </c>
      <c r="I395" s="3" t="s">
        <v>422</v>
      </c>
      <c r="J395" s="3" t="s">
        <v>129</v>
      </c>
    </row>
    <row r="396" spans="8:10" x14ac:dyDescent="0.3">
      <c r="H396" s="3" t="s">
        <v>122</v>
      </c>
      <c r="I396" s="3" t="s">
        <v>423</v>
      </c>
      <c r="J396" s="3" t="s">
        <v>144</v>
      </c>
    </row>
    <row r="397" spans="8:10" x14ac:dyDescent="0.3">
      <c r="H397" s="3" t="s">
        <v>137</v>
      </c>
      <c r="I397" s="3" t="s">
        <v>424</v>
      </c>
      <c r="J397" s="3" t="s">
        <v>139</v>
      </c>
    </row>
    <row r="398" spans="8:10" x14ac:dyDescent="0.3">
      <c r="H398" s="3" t="s">
        <v>140</v>
      </c>
      <c r="I398" s="3" t="s">
        <v>425</v>
      </c>
      <c r="J398" s="3" t="s">
        <v>126</v>
      </c>
    </row>
    <row r="399" spans="8:10" x14ac:dyDescent="0.3">
      <c r="H399" s="3" t="s">
        <v>135</v>
      </c>
      <c r="I399" s="3" t="s">
        <v>361</v>
      </c>
      <c r="J399" s="3" t="s">
        <v>148</v>
      </c>
    </row>
    <row r="400" spans="8:10" x14ac:dyDescent="0.3">
      <c r="H400" s="3" t="s">
        <v>127</v>
      </c>
      <c r="I400" s="3" t="s">
        <v>426</v>
      </c>
      <c r="J400" s="3" t="s">
        <v>152</v>
      </c>
    </row>
    <row r="401" spans="8:10" x14ac:dyDescent="0.3">
      <c r="H401" s="3" t="s">
        <v>127</v>
      </c>
      <c r="I401" s="3" t="s">
        <v>167</v>
      </c>
      <c r="J401" s="3" t="s">
        <v>126</v>
      </c>
    </row>
    <row r="402" spans="8:10" x14ac:dyDescent="0.3">
      <c r="H402" s="3" t="s">
        <v>149</v>
      </c>
      <c r="I402" s="3" t="s">
        <v>427</v>
      </c>
      <c r="J402" s="3" t="s">
        <v>148</v>
      </c>
    </row>
    <row r="403" spans="8:10" x14ac:dyDescent="0.3">
      <c r="H403" s="3" t="s">
        <v>135</v>
      </c>
      <c r="I403" s="3" t="s">
        <v>406</v>
      </c>
      <c r="J403" s="3" t="s">
        <v>124</v>
      </c>
    </row>
    <row r="404" spans="8:10" x14ac:dyDescent="0.3">
      <c r="H404" s="3" t="s">
        <v>135</v>
      </c>
      <c r="I404" s="3" t="s">
        <v>366</v>
      </c>
      <c r="J404" s="3" t="s">
        <v>173</v>
      </c>
    </row>
    <row r="405" spans="8:10" x14ac:dyDescent="0.3">
      <c r="H405" s="3" t="s">
        <v>149</v>
      </c>
      <c r="I405" s="3" t="s">
        <v>428</v>
      </c>
      <c r="J405" s="3" t="s">
        <v>134</v>
      </c>
    </row>
    <row r="406" spans="8:10" x14ac:dyDescent="0.3">
      <c r="H406" s="3" t="s">
        <v>155</v>
      </c>
      <c r="I406" s="3" t="s">
        <v>429</v>
      </c>
      <c r="J406" s="3" t="s">
        <v>129</v>
      </c>
    </row>
    <row r="407" spans="8:10" x14ac:dyDescent="0.3">
      <c r="H407" s="3" t="s">
        <v>122</v>
      </c>
      <c r="I407" s="3" t="s">
        <v>239</v>
      </c>
      <c r="J407" s="3" t="s">
        <v>134</v>
      </c>
    </row>
    <row r="408" spans="8:10" x14ac:dyDescent="0.3">
      <c r="H408" s="3" t="s">
        <v>122</v>
      </c>
      <c r="I408" s="3" t="s">
        <v>239</v>
      </c>
      <c r="J408" s="3" t="s">
        <v>129</v>
      </c>
    </row>
    <row r="409" spans="8:10" x14ac:dyDescent="0.3">
      <c r="H409" s="3" t="s">
        <v>149</v>
      </c>
      <c r="I409" s="3" t="s">
        <v>360</v>
      </c>
      <c r="J409" s="3" t="s">
        <v>173</v>
      </c>
    </row>
    <row r="410" spans="8:10" x14ac:dyDescent="0.3">
      <c r="H410" s="3" t="s">
        <v>155</v>
      </c>
      <c r="I410" s="3" t="s">
        <v>430</v>
      </c>
      <c r="J410" s="3" t="s">
        <v>152</v>
      </c>
    </row>
    <row r="411" spans="8:10" x14ac:dyDescent="0.3">
      <c r="H411" s="3" t="s">
        <v>149</v>
      </c>
      <c r="I411" s="3" t="s">
        <v>431</v>
      </c>
      <c r="J411" s="3" t="s">
        <v>129</v>
      </c>
    </row>
    <row r="412" spans="8:10" x14ac:dyDescent="0.3">
      <c r="H412" s="3" t="s">
        <v>137</v>
      </c>
      <c r="I412" s="3" t="s">
        <v>289</v>
      </c>
      <c r="J412" s="3" t="s">
        <v>173</v>
      </c>
    </row>
    <row r="413" spans="8:10" x14ac:dyDescent="0.3">
      <c r="H413" s="3" t="s">
        <v>127</v>
      </c>
      <c r="I413" s="3" t="s">
        <v>168</v>
      </c>
      <c r="J413" s="3" t="s">
        <v>144</v>
      </c>
    </row>
    <row r="414" spans="8:10" x14ac:dyDescent="0.3">
      <c r="H414" s="3" t="s">
        <v>132</v>
      </c>
      <c r="I414" s="3" t="s">
        <v>339</v>
      </c>
      <c r="J414" s="3" t="s">
        <v>173</v>
      </c>
    </row>
    <row r="415" spans="8:10" x14ac:dyDescent="0.3">
      <c r="H415" s="3" t="s">
        <v>140</v>
      </c>
      <c r="I415" s="3" t="s">
        <v>432</v>
      </c>
      <c r="J415" s="3" t="s">
        <v>126</v>
      </c>
    </row>
    <row r="416" spans="8:10" x14ac:dyDescent="0.3">
      <c r="H416" s="3" t="s">
        <v>127</v>
      </c>
      <c r="I416" s="3" t="s">
        <v>175</v>
      </c>
      <c r="J416" s="3" t="s">
        <v>124</v>
      </c>
    </row>
    <row r="417" spans="8:10" x14ac:dyDescent="0.3">
      <c r="H417" s="3" t="s">
        <v>142</v>
      </c>
      <c r="I417" s="3" t="s">
        <v>433</v>
      </c>
      <c r="J417" s="3" t="s">
        <v>148</v>
      </c>
    </row>
    <row r="418" spans="8:10" x14ac:dyDescent="0.3">
      <c r="H418" s="3" t="s">
        <v>149</v>
      </c>
      <c r="I418" s="3" t="s">
        <v>166</v>
      </c>
      <c r="J418" s="3" t="s">
        <v>173</v>
      </c>
    </row>
    <row r="419" spans="8:10" x14ac:dyDescent="0.3">
      <c r="H419" s="3" t="s">
        <v>132</v>
      </c>
      <c r="I419" s="3" t="s">
        <v>284</v>
      </c>
      <c r="J419" s="3" t="s">
        <v>126</v>
      </c>
    </row>
    <row r="420" spans="8:10" x14ac:dyDescent="0.3">
      <c r="H420" s="3" t="s">
        <v>130</v>
      </c>
      <c r="I420" s="3" t="s">
        <v>220</v>
      </c>
      <c r="J420" s="3" t="s">
        <v>159</v>
      </c>
    </row>
    <row r="421" spans="8:10" x14ac:dyDescent="0.3">
      <c r="H421" s="3" t="s">
        <v>132</v>
      </c>
      <c r="I421" s="3" t="s">
        <v>387</v>
      </c>
      <c r="J421" s="3" t="s">
        <v>129</v>
      </c>
    </row>
    <row r="422" spans="8:10" x14ac:dyDescent="0.3">
      <c r="H422" s="3" t="s">
        <v>122</v>
      </c>
      <c r="I422" s="3" t="s">
        <v>434</v>
      </c>
      <c r="J422" s="3" t="s">
        <v>144</v>
      </c>
    </row>
    <row r="423" spans="8:10" x14ac:dyDescent="0.3">
      <c r="H423" s="3" t="s">
        <v>132</v>
      </c>
      <c r="I423" s="3" t="s">
        <v>411</v>
      </c>
      <c r="J423" s="3" t="s">
        <v>152</v>
      </c>
    </row>
    <row r="424" spans="8:10" x14ac:dyDescent="0.3">
      <c r="H424" s="3" t="s">
        <v>142</v>
      </c>
      <c r="I424" s="3" t="s">
        <v>435</v>
      </c>
      <c r="J424" s="3" t="s">
        <v>159</v>
      </c>
    </row>
    <row r="425" spans="8:10" x14ac:dyDescent="0.3">
      <c r="H425" s="3" t="s">
        <v>142</v>
      </c>
      <c r="I425" s="3" t="s">
        <v>286</v>
      </c>
      <c r="J425" s="3" t="s">
        <v>173</v>
      </c>
    </row>
    <row r="426" spans="8:10" x14ac:dyDescent="0.3">
      <c r="H426" s="3" t="s">
        <v>132</v>
      </c>
      <c r="I426" s="3" t="s">
        <v>436</v>
      </c>
      <c r="J426" s="3" t="s">
        <v>144</v>
      </c>
    </row>
    <row r="427" spans="8:10" x14ac:dyDescent="0.3">
      <c r="H427" s="3" t="s">
        <v>137</v>
      </c>
      <c r="I427" s="3" t="s">
        <v>395</v>
      </c>
      <c r="J427" s="3" t="s">
        <v>144</v>
      </c>
    </row>
    <row r="428" spans="8:10" x14ac:dyDescent="0.3">
      <c r="H428" s="3" t="s">
        <v>135</v>
      </c>
      <c r="I428" s="3" t="s">
        <v>349</v>
      </c>
      <c r="J428" s="3" t="s">
        <v>129</v>
      </c>
    </row>
    <row r="429" spans="8:10" x14ac:dyDescent="0.3">
      <c r="H429" s="3" t="s">
        <v>142</v>
      </c>
      <c r="I429" s="3" t="s">
        <v>437</v>
      </c>
      <c r="J429" s="3" t="s">
        <v>126</v>
      </c>
    </row>
    <row r="430" spans="8:10" x14ac:dyDescent="0.3">
      <c r="H430" s="3" t="s">
        <v>142</v>
      </c>
      <c r="I430" s="3" t="s">
        <v>438</v>
      </c>
      <c r="J430" s="3" t="s">
        <v>173</v>
      </c>
    </row>
    <row r="431" spans="8:10" x14ac:dyDescent="0.3">
      <c r="H431" s="3" t="s">
        <v>140</v>
      </c>
      <c r="I431" s="3" t="s">
        <v>288</v>
      </c>
      <c r="J431" s="3" t="s">
        <v>139</v>
      </c>
    </row>
    <row r="432" spans="8:10" x14ac:dyDescent="0.3">
      <c r="H432" s="3" t="s">
        <v>149</v>
      </c>
      <c r="I432" s="3" t="s">
        <v>410</v>
      </c>
      <c r="J432" s="3" t="s">
        <v>159</v>
      </c>
    </row>
    <row r="433" spans="8:10" x14ac:dyDescent="0.3">
      <c r="H433" s="3" t="s">
        <v>130</v>
      </c>
      <c r="I433" s="3" t="s">
        <v>294</v>
      </c>
      <c r="J433" s="3" t="s">
        <v>173</v>
      </c>
    </row>
    <row r="434" spans="8:10" x14ac:dyDescent="0.3">
      <c r="H434" s="3" t="s">
        <v>122</v>
      </c>
      <c r="I434" s="3" t="s">
        <v>313</v>
      </c>
      <c r="J434" s="3" t="s">
        <v>129</v>
      </c>
    </row>
    <row r="435" spans="8:10" x14ac:dyDescent="0.3">
      <c r="H435" s="3" t="s">
        <v>142</v>
      </c>
      <c r="I435" s="3" t="s">
        <v>439</v>
      </c>
      <c r="J435" s="3" t="s">
        <v>152</v>
      </c>
    </row>
    <row r="436" spans="8:10" x14ac:dyDescent="0.3">
      <c r="H436" s="3" t="s">
        <v>142</v>
      </c>
      <c r="I436" s="3" t="s">
        <v>440</v>
      </c>
      <c r="J436" s="3" t="s">
        <v>139</v>
      </c>
    </row>
    <row r="437" spans="8:10" x14ac:dyDescent="0.3">
      <c r="H437" s="3" t="s">
        <v>140</v>
      </c>
      <c r="I437" s="3" t="s">
        <v>304</v>
      </c>
      <c r="J437" s="3" t="s">
        <v>148</v>
      </c>
    </row>
    <row r="438" spans="8:10" x14ac:dyDescent="0.3">
      <c r="H438" s="3" t="s">
        <v>137</v>
      </c>
      <c r="I438" s="3" t="s">
        <v>333</v>
      </c>
      <c r="J438" s="3" t="s">
        <v>159</v>
      </c>
    </row>
    <row r="439" spans="8:10" x14ac:dyDescent="0.3">
      <c r="H439" s="3" t="s">
        <v>137</v>
      </c>
      <c r="I439" s="3" t="s">
        <v>184</v>
      </c>
      <c r="J439" s="3" t="s">
        <v>159</v>
      </c>
    </row>
    <row r="440" spans="8:10" x14ac:dyDescent="0.3">
      <c r="H440" s="3" t="s">
        <v>127</v>
      </c>
      <c r="I440" s="3" t="s">
        <v>373</v>
      </c>
      <c r="J440" s="3" t="s">
        <v>126</v>
      </c>
    </row>
    <row r="441" spans="8:10" x14ac:dyDescent="0.3">
      <c r="H441" s="3" t="s">
        <v>130</v>
      </c>
      <c r="I441" s="3" t="s">
        <v>441</v>
      </c>
      <c r="J441" s="3" t="s">
        <v>144</v>
      </c>
    </row>
    <row r="442" spans="8:10" x14ac:dyDescent="0.3">
      <c r="H442" s="3" t="s">
        <v>130</v>
      </c>
      <c r="I442" s="3" t="s">
        <v>320</v>
      </c>
      <c r="J442" s="3" t="s">
        <v>173</v>
      </c>
    </row>
    <row r="443" spans="8:10" x14ac:dyDescent="0.3">
      <c r="H443" s="3" t="s">
        <v>140</v>
      </c>
      <c r="I443" s="3" t="s">
        <v>306</v>
      </c>
      <c r="J443" s="3" t="s">
        <v>144</v>
      </c>
    </row>
    <row r="444" spans="8:10" x14ac:dyDescent="0.3">
      <c r="H444" s="3" t="s">
        <v>122</v>
      </c>
      <c r="I444" s="3" t="s">
        <v>125</v>
      </c>
      <c r="J444" s="3" t="s">
        <v>152</v>
      </c>
    </row>
    <row r="445" spans="8:10" x14ac:dyDescent="0.3">
      <c r="H445" s="3" t="s">
        <v>137</v>
      </c>
      <c r="I445" s="3" t="s">
        <v>394</v>
      </c>
      <c r="J445" s="3" t="s">
        <v>144</v>
      </c>
    </row>
    <row r="446" spans="8:10" x14ac:dyDescent="0.3">
      <c r="H446" s="3" t="s">
        <v>127</v>
      </c>
      <c r="I446" s="3" t="s">
        <v>384</v>
      </c>
      <c r="J446" s="3" t="s">
        <v>152</v>
      </c>
    </row>
    <row r="447" spans="8:10" x14ac:dyDescent="0.3">
      <c r="H447" s="3" t="s">
        <v>140</v>
      </c>
      <c r="I447" s="3" t="s">
        <v>172</v>
      </c>
      <c r="J447" s="3" t="s">
        <v>124</v>
      </c>
    </row>
    <row r="448" spans="8:10" x14ac:dyDescent="0.3">
      <c r="H448" s="3" t="s">
        <v>140</v>
      </c>
      <c r="I448" s="3" t="s">
        <v>393</v>
      </c>
      <c r="J448" s="3" t="s">
        <v>152</v>
      </c>
    </row>
    <row r="449" spans="8:10" x14ac:dyDescent="0.3">
      <c r="H449" s="3" t="s">
        <v>132</v>
      </c>
      <c r="I449" s="3" t="s">
        <v>402</v>
      </c>
      <c r="J449" s="3" t="s">
        <v>148</v>
      </c>
    </row>
    <row r="450" spans="8:10" x14ac:dyDescent="0.3">
      <c r="H450" s="3" t="s">
        <v>122</v>
      </c>
      <c r="I450" s="3" t="s">
        <v>442</v>
      </c>
      <c r="J450" s="3" t="s">
        <v>129</v>
      </c>
    </row>
    <row r="451" spans="8:10" x14ac:dyDescent="0.3">
      <c r="H451" s="3" t="s">
        <v>142</v>
      </c>
      <c r="I451" s="3" t="s">
        <v>443</v>
      </c>
      <c r="J451" s="3" t="s">
        <v>173</v>
      </c>
    </row>
    <row r="452" spans="8:10" x14ac:dyDescent="0.3">
      <c r="H452" s="3" t="s">
        <v>122</v>
      </c>
      <c r="I452" s="3" t="s">
        <v>182</v>
      </c>
      <c r="J452" s="3" t="s">
        <v>148</v>
      </c>
    </row>
    <row r="453" spans="8:10" x14ac:dyDescent="0.3">
      <c r="H453" s="3" t="s">
        <v>137</v>
      </c>
      <c r="I453" s="3" t="s">
        <v>444</v>
      </c>
      <c r="J453" s="3" t="s">
        <v>173</v>
      </c>
    </row>
    <row r="454" spans="8:10" x14ac:dyDescent="0.3">
      <c r="H454" s="3" t="s">
        <v>132</v>
      </c>
      <c r="I454" s="3" t="s">
        <v>445</v>
      </c>
      <c r="J454" s="3" t="s">
        <v>134</v>
      </c>
    </row>
    <row r="455" spans="8:10" x14ac:dyDescent="0.3">
      <c r="H455" s="3" t="s">
        <v>130</v>
      </c>
      <c r="I455" s="3" t="s">
        <v>446</v>
      </c>
      <c r="J455" s="3" t="s">
        <v>129</v>
      </c>
    </row>
    <row r="456" spans="8:10" x14ac:dyDescent="0.3">
      <c r="H456" s="3" t="s">
        <v>155</v>
      </c>
      <c r="I456" s="3" t="s">
        <v>447</v>
      </c>
      <c r="J456" s="3" t="s">
        <v>148</v>
      </c>
    </row>
    <row r="457" spans="8:10" x14ac:dyDescent="0.3">
      <c r="H457" s="3" t="s">
        <v>155</v>
      </c>
      <c r="I457" s="3" t="s">
        <v>448</v>
      </c>
      <c r="J457" s="3" t="s">
        <v>144</v>
      </c>
    </row>
    <row r="458" spans="8:10" x14ac:dyDescent="0.3">
      <c r="H458" s="3" t="s">
        <v>149</v>
      </c>
      <c r="I458" s="3" t="s">
        <v>449</v>
      </c>
      <c r="J458" s="3" t="s">
        <v>173</v>
      </c>
    </row>
    <row r="459" spans="8:10" x14ac:dyDescent="0.3">
      <c r="H459" s="3" t="s">
        <v>127</v>
      </c>
      <c r="I459" s="3" t="s">
        <v>211</v>
      </c>
      <c r="J459" s="3" t="s">
        <v>173</v>
      </c>
    </row>
    <row r="460" spans="8:10" x14ac:dyDescent="0.3">
      <c r="H460" s="3" t="s">
        <v>132</v>
      </c>
      <c r="I460" s="3" t="s">
        <v>238</v>
      </c>
      <c r="J460" s="3" t="s">
        <v>159</v>
      </c>
    </row>
    <row r="461" spans="8:10" x14ac:dyDescent="0.3">
      <c r="H461" s="3" t="s">
        <v>155</v>
      </c>
      <c r="I461" s="3" t="s">
        <v>450</v>
      </c>
      <c r="J461" s="3" t="s">
        <v>129</v>
      </c>
    </row>
    <row r="462" spans="8:10" x14ac:dyDescent="0.3">
      <c r="H462" s="3" t="s">
        <v>149</v>
      </c>
      <c r="I462" s="3" t="s">
        <v>322</v>
      </c>
      <c r="J462" s="3" t="s">
        <v>148</v>
      </c>
    </row>
    <row r="463" spans="8:10" x14ac:dyDescent="0.3">
      <c r="H463" s="3" t="s">
        <v>130</v>
      </c>
      <c r="I463" s="3" t="s">
        <v>451</v>
      </c>
      <c r="J463" s="3" t="s">
        <v>124</v>
      </c>
    </row>
    <row r="464" spans="8:10" x14ac:dyDescent="0.3">
      <c r="H464" s="3" t="s">
        <v>135</v>
      </c>
      <c r="I464" s="3" t="s">
        <v>452</v>
      </c>
      <c r="J464" s="3" t="s">
        <v>134</v>
      </c>
    </row>
    <row r="465" spans="8:10" x14ac:dyDescent="0.3">
      <c r="H465" s="3" t="s">
        <v>137</v>
      </c>
      <c r="I465" s="3" t="s">
        <v>375</v>
      </c>
      <c r="J465" s="3" t="s">
        <v>129</v>
      </c>
    </row>
    <row r="466" spans="8:10" x14ac:dyDescent="0.3">
      <c r="H466" s="3" t="s">
        <v>122</v>
      </c>
      <c r="I466" s="3" t="s">
        <v>453</v>
      </c>
      <c r="J466" s="3" t="s">
        <v>139</v>
      </c>
    </row>
    <row r="467" spans="8:10" x14ac:dyDescent="0.3">
      <c r="H467" s="3" t="s">
        <v>142</v>
      </c>
      <c r="I467" s="3" t="s">
        <v>454</v>
      </c>
      <c r="J467" s="3" t="s">
        <v>124</v>
      </c>
    </row>
    <row r="468" spans="8:10" x14ac:dyDescent="0.3">
      <c r="H468" s="3" t="s">
        <v>135</v>
      </c>
      <c r="I468" s="3" t="s">
        <v>406</v>
      </c>
      <c r="J468" s="3" t="s">
        <v>126</v>
      </c>
    </row>
    <row r="469" spans="8:10" x14ac:dyDescent="0.3">
      <c r="H469" s="3" t="s">
        <v>130</v>
      </c>
      <c r="I469" s="3" t="s">
        <v>379</v>
      </c>
      <c r="J469" s="3" t="s">
        <v>126</v>
      </c>
    </row>
    <row r="470" spans="8:10" x14ac:dyDescent="0.3">
      <c r="H470" s="3" t="s">
        <v>135</v>
      </c>
      <c r="I470" s="3" t="s">
        <v>179</v>
      </c>
      <c r="J470" s="3" t="s">
        <v>148</v>
      </c>
    </row>
    <row r="471" spans="8:10" x14ac:dyDescent="0.3">
      <c r="H471" s="3" t="s">
        <v>122</v>
      </c>
      <c r="I471" s="3" t="s">
        <v>455</v>
      </c>
      <c r="J471" s="3" t="s">
        <v>148</v>
      </c>
    </row>
    <row r="472" spans="8:10" x14ac:dyDescent="0.3">
      <c r="H472" s="3" t="s">
        <v>142</v>
      </c>
      <c r="I472" s="3" t="s">
        <v>454</v>
      </c>
      <c r="J472" s="3" t="s">
        <v>139</v>
      </c>
    </row>
    <row r="473" spans="8:10" x14ac:dyDescent="0.3">
      <c r="H473" s="3" t="s">
        <v>135</v>
      </c>
      <c r="I473" s="3" t="s">
        <v>456</v>
      </c>
      <c r="J473" s="3" t="s">
        <v>139</v>
      </c>
    </row>
    <row r="474" spans="8:10" x14ac:dyDescent="0.3">
      <c r="H474" s="3" t="s">
        <v>142</v>
      </c>
      <c r="I474" s="3" t="s">
        <v>143</v>
      </c>
      <c r="J474" s="3" t="s">
        <v>152</v>
      </c>
    </row>
    <row r="475" spans="8:10" x14ac:dyDescent="0.3">
      <c r="H475" s="3" t="s">
        <v>130</v>
      </c>
      <c r="I475" s="3" t="s">
        <v>285</v>
      </c>
      <c r="J475" s="3" t="s">
        <v>152</v>
      </c>
    </row>
    <row r="476" spans="8:10" x14ac:dyDescent="0.3">
      <c r="H476" s="3" t="s">
        <v>132</v>
      </c>
      <c r="I476" s="3" t="s">
        <v>325</v>
      </c>
      <c r="J476" s="3" t="s">
        <v>152</v>
      </c>
    </row>
    <row r="477" spans="8:10" x14ac:dyDescent="0.3">
      <c r="H477" s="3" t="s">
        <v>132</v>
      </c>
      <c r="I477" s="3" t="s">
        <v>457</v>
      </c>
      <c r="J477" s="3" t="s">
        <v>124</v>
      </c>
    </row>
    <row r="478" spans="8:10" x14ac:dyDescent="0.3">
      <c r="H478" s="3" t="s">
        <v>140</v>
      </c>
      <c r="I478" s="3" t="s">
        <v>458</v>
      </c>
      <c r="J478" s="3" t="s">
        <v>134</v>
      </c>
    </row>
  </sheetData>
  <mergeCells count="1">
    <mergeCell ref="A1:XFD1"/>
  </mergeCells>
  <hyperlinks>
    <hyperlink ref="D6" r:id="rId1" display="mailto:alice2@example.com" xr:uid="{E4E4FDE2-C9B0-46D8-92CF-67F70CF640DC}"/>
    <hyperlink ref="D8" r:id="rId2" display="mailto:david4@example.com" xr:uid="{B0751CE1-A7A3-46C9-AA2D-E6A4CCE4688E}"/>
    <hyperlink ref="D9" r:id="rId3" display="mailto:sophia5@example.com" xr:uid="{33352CC8-FE12-4017-83AC-A58196806B91}"/>
    <hyperlink ref="D13" r:id="rId4" display="mailto:olivia9@example.com" xr:uid="{7156DF88-A114-4857-8BA4-6AFB62689600}"/>
    <hyperlink ref="D12" r:id="rId5" display="mailto:noah8@example.com" xr:uid="{C1C05C6A-BDF2-4BDC-BBF0-4957D4F3B2AA}"/>
    <hyperlink ref="D15" r:id="rId6" display="mailto:john1@example.com" xr:uid="{700ABB90-0B79-48CF-ADBA-EA52BE04812D}"/>
    <hyperlink ref="D5" r:id="rId7" display="mailto:bob3@example.com" xr:uid="{E852F1FF-1CDD-4731-94CE-FC6590603D12}"/>
    <hyperlink ref="D7" r:id="rId8" display="mailto:bob3@example.com" xr:uid="{4FD87D7A-EA84-46CF-818E-4B1EAFF57DB5}"/>
    <hyperlink ref="D16" r:id="rId9" display="mailto:alice2@example.com" xr:uid="{32C185A7-2FAC-4C5E-8C5D-D8C4BB28D64B}"/>
    <hyperlink ref="D19" r:id="rId10" display="mailto:noah8@example.com" xr:uid="{B968A5E3-15C3-4132-8017-1ACBD378A0B4}"/>
    <hyperlink ref="D11" r:id="rId11" display="mailto:bob3@example.com" xr:uid="{89613E9C-006F-4E8F-9CAB-CD1AE3097423}"/>
    <hyperlink ref="D14" r:id="rId12" display="mailto:bob3@example.com" xr:uid="{839EF7B7-680F-48D4-9AA7-C44B2925885E}"/>
    <hyperlink ref="D17" r:id="rId13" display="mailto:bob3@example.com" xr:uid="{E8E11718-AB2B-44C6-B1C5-6EA4751B3639}"/>
    <hyperlink ref="D18" r:id="rId14" display="mailto:bob3@example.com" xr:uid="{5A23BED3-865D-4D03-8AA9-E318BA3D4129}"/>
    <hyperlink ref="D10" r:id="rId15" display="mailto:bob3@example.com" xr:uid="{C5BB3379-CEFF-4AE6-8620-539EF3E0F97F}"/>
  </hyperlinks>
  <pageMargins left="0.7" right="0.7" top="0.75" bottom="0.75" header="0.3" footer="0.3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5F6F-E3F5-474F-9055-0DF947E9766F}">
  <dimension ref="C1:N99"/>
  <sheetViews>
    <sheetView workbookViewId="0">
      <selection activeCell="F32" sqref="F32"/>
    </sheetView>
  </sheetViews>
  <sheetFormatPr defaultRowHeight="14.4" x14ac:dyDescent="0.3"/>
  <cols>
    <col min="3" max="3" width="22.5546875" bestFit="1" customWidth="1"/>
    <col min="4" max="4" width="17.44140625" customWidth="1"/>
    <col min="5" max="5" width="18.5546875" bestFit="1" customWidth="1"/>
    <col min="6" max="6" width="18.5546875" customWidth="1"/>
    <col min="7" max="7" width="29.109375" bestFit="1" customWidth="1"/>
  </cols>
  <sheetData>
    <row r="1" spans="3:14" x14ac:dyDescent="0.3">
      <c r="C1" s="2" t="s">
        <v>14</v>
      </c>
      <c r="D1" s="2" t="s">
        <v>13</v>
      </c>
    </row>
    <row r="2" spans="3:14" x14ac:dyDescent="0.3">
      <c r="C2" s="3" t="s">
        <v>10</v>
      </c>
      <c r="D2" s="3" t="s">
        <v>9</v>
      </c>
    </row>
    <row r="3" spans="3:14" x14ac:dyDescent="0.3">
      <c r="C3" s="3" t="s">
        <v>7</v>
      </c>
      <c r="D3" s="3" t="s">
        <v>8</v>
      </c>
    </row>
    <row r="4" spans="3:14" x14ac:dyDescent="0.3">
      <c r="C4" s="4" t="s">
        <v>11</v>
      </c>
      <c r="D4" s="3" t="s">
        <v>12</v>
      </c>
      <c r="E4" t="s">
        <v>15</v>
      </c>
      <c r="F4" t="s">
        <v>17</v>
      </c>
      <c r="G4" t="s">
        <v>20</v>
      </c>
    </row>
    <row r="5" spans="3:14" x14ac:dyDescent="0.3">
      <c r="D5" s="3"/>
      <c r="E5" t="s">
        <v>16</v>
      </c>
      <c r="F5" t="s">
        <v>18</v>
      </c>
    </row>
    <row r="6" spans="3:14" x14ac:dyDescent="0.3">
      <c r="D6" s="3" t="s">
        <v>19</v>
      </c>
      <c r="M6" t="str" cm="1">
        <f t="array" ref="M6:M9">_xlfn.UNIQUE(Table1[Purchase mode])</f>
        <v>debit</v>
      </c>
      <c r="N6">
        <f>COUNTIF(Table1[Purchase mode],M6)</f>
        <v>9</v>
      </c>
    </row>
    <row r="7" spans="3:14" x14ac:dyDescent="0.3">
      <c r="M7" t="str">
        <v>credit</v>
      </c>
      <c r="N7">
        <f>COUNTIF(Table1[Purchase mode],M7)</f>
        <v>14</v>
      </c>
    </row>
    <row r="8" spans="3:14" x14ac:dyDescent="0.3">
      <c r="M8" t="str">
        <v>cash</v>
      </c>
      <c r="N8">
        <f>COUNTIF(Table1[Purchase mode],M8)</f>
        <v>23</v>
      </c>
    </row>
    <row r="9" spans="3:14" x14ac:dyDescent="0.3">
      <c r="C9" s="6" t="s">
        <v>21</v>
      </c>
      <c r="D9" s="7" t="s">
        <v>22</v>
      </c>
      <c r="E9" s="7" t="s">
        <v>23</v>
      </c>
      <c r="F9" s="3" t="s">
        <v>116</v>
      </c>
      <c r="G9" s="3" t="s">
        <v>24</v>
      </c>
      <c r="H9" s="16" t="s">
        <v>473</v>
      </c>
      <c r="I9" s="16" t="s">
        <v>474</v>
      </c>
      <c r="M9">
        <v>0</v>
      </c>
      <c r="N9">
        <f>COUNTIF(Table1[Purchase mode],M9)</f>
        <v>0</v>
      </c>
    </row>
    <row r="10" spans="3:14" x14ac:dyDescent="0.3">
      <c r="C10" s="5">
        <v>8270</v>
      </c>
      <c r="D10" s="3" t="s">
        <v>25</v>
      </c>
      <c r="E10" s="3" t="s">
        <v>26</v>
      </c>
      <c r="F10" s="3" t="s">
        <v>113</v>
      </c>
      <c r="G10" s="3">
        <v>1.22</v>
      </c>
      <c r="H10" t="str">
        <f>IF(ISBLANK(Table1[[#This Row],[Purchase mode]]),"Unknown",Table1[[#This Row],[Purchase mode]])</f>
        <v>debit</v>
      </c>
      <c r="I10" t="str">
        <f>IF(ISBLANK(Table1[[#This Row],[Purchase mode]]),"cash",Table1[[#This Row],[Purchase mode]])</f>
        <v>debit</v>
      </c>
    </row>
    <row r="11" spans="3:14" x14ac:dyDescent="0.3">
      <c r="C11" s="5">
        <v>1860</v>
      </c>
      <c r="D11" s="3" t="s">
        <v>27</v>
      </c>
      <c r="E11" s="3" t="s">
        <v>28</v>
      </c>
      <c r="F11" s="3" t="s">
        <v>114</v>
      </c>
      <c r="G11" s="3">
        <v>38.82</v>
      </c>
      <c r="H11" t="str">
        <f>IF(ISBLANK(Table1[[#This Row],[Purchase mode]]),"Unknown",Table1[[#This Row],[Purchase mode]])</f>
        <v>credit</v>
      </c>
      <c r="I11" t="str">
        <f>IF(ISBLANK(Table1[[#This Row],[Purchase mode]]),"cash",Table1[[#This Row],[Purchase mode]])</f>
        <v>credit</v>
      </c>
    </row>
    <row r="12" spans="3:14" x14ac:dyDescent="0.3">
      <c r="C12" s="5">
        <v>6390</v>
      </c>
      <c r="D12" s="3" t="s">
        <v>29</v>
      </c>
      <c r="E12" s="3" t="s">
        <v>30</v>
      </c>
      <c r="F12" s="3" t="s">
        <v>115</v>
      </c>
      <c r="G12" s="3">
        <v>39.64</v>
      </c>
      <c r="H12" t="str">
        <f>IF(ISBLANK(Table1[[#This Row],[Purchase mode]]),"Unknown",Table1[[#This Row],[Purchase mode]])</f>
        <v>cash</v>
      </c>
      <c r="I12" t="str">
        <f>IF(ISBLANK(Table1[[#This Row],[Purchase mode]]),"cash",Table1[[#This Row],[Purchase mode]])</f>
        <v>cash</v>
      </c>
    </row>
    <row r="13" spans="3:14" x14ac:dyDescent="0.3">
      <c r="C13" s="5">
        <v>6191</v>
      </c>
      <c r="D13" s="3" t="s">
        <v>31</v>
      </c>
      <c r="E13" s="3" t="s">
        <v>32</v>
      </c>
      <c r="F13" s="3" t="s">
        <v>113</v>
      </c>
      <c r="G13" s="3">
        <v>33.39</v>
      </c>
      <c r="H13" t="str">
        <f>IF(ISBLANK(Table1[[#This Row],[Purchase mode]]),"Unknown",Table1[[#This Row],[Purchase mode]])</f>
        <v>debit</v>
      </c>
      <c r="I13" t="str">
        <f>IF(ISBLANK(Table1[[#This Row],[Purchase mode]]),"cash",Table1[[#This Row],[Purchase mode]])</f>
        <v>debit</v>
      </c>
    </row>
    <row r="14" spans="3:14" x14ac:dyDescent="0.3">
      <c r="C14" s="5">
        <v>6734</v>
      </c>
      <c r="D14" s="3" t="s">
        <v>33</v>
      </c>
      <c r="E14" s="3" t="s">
        <v>30</v>
      </c>
      <c r="F14" s="3" t="s">
        <v>114</v>
      </c>
      <c r="G14" s="3">
        <v>31.74</v>
      </c>
      <c r="H14" t="str">
        <f>IF(ISBLANK(Table1[[#This Row],[Purchase mode]]),"Unknown",Table1[[#This Row],[Purchase mode]])</f>
        <v>credit</v>
      </c>
      <c r="I14" t="str">
        <f>IF(ISBLANK(Table1[[#This Row],[Purchase mode]]),"cash",Table1[[#This Row],[Purchase mode]])</f>
        <v>credit</v>
      </c>
    </row>
    <row r="15" spans="3:14" x14ac:dyDescent="0.3">
      <c r="C15" s="5">
        <v>7265</v>
      </c>
      <c r="D15" s="3" t="s">
        <v>34</v>
      </c>
      <c r="E15" s="3" t="s">
        <v>30</v>
      </c>
      <c r="F15" s="3" t="s">
        <v>115</v>
      </c>
      <c r="G15" s="3">
        <v>39.49</v>
      </c>
      <c r="H15" t="str">
        <f>IF(ISBLANK(Table1[[#This Row],[Purchase mode]]),"Unknown",Table1[[#This Row],[Purchase mode]])</f>
        <v>cash</v>
      </c>
      <c r="I15" t="str">
        <f>IF(ISBLANK(Table1[[#This Row],[Purchase mode]]),"cash",Table1[[#This Row],[Purchase mode]])</f>
        <v>cash</v>
      </c>
    </row>
    <row r="16" spans="3:14" x14ac:dyDescent="0.3">
      <c r="C16" s="5">
        <v>1466</v>
      </c>
      <c r="D16" s="3" t="s">
        <v>35</v>
      </c>
      <c r="E16" s="3" t="s">
        <v>26</v>
      </c>
      <c r="F16" s="3"/>
      <c r="G16" s="3">
        <v>35.93</v>
      </c>
      <c r="H16" t="str">
        <f>IF(ISBLANK(Table1[[#This Row],[Purchase mode]]),"Unknown",Table1[[#This Row],[Purchase mode]])</f>
        <v>Unknown</v>
      </c>
      <c r="I16" t="str">
        <f>IF(ISBLANK(Table1[[#This Row],[Purchase mode]]),"cash",Table1[[#This Row],[Purchase mode]])</f>
        <v>cash</v>
      </c>
    </row>
    <row r="17" spans="3:9" x14ac:dyDescent="0.3">
      <c r="C17" s="5">
        <v>5426</v>
      </c>
      <c r="D17" s="3" t="s">
        <v>36</v>
      </c>
      <c r="E17" s="3" t="s">
        <v>32</v>
      </c>
      <c r="F17" s="3"/>
      <c r="G17" s="3">
        <v>23.4</v>
      </c>
      <c r="H17" t="str">
        <f>IF(ISBLANK(Table1[[#This Row],[Purchase mode]]),"Unknown",Table1[[#This Row],[Purchase mode]])</f>
        <v>Unknown</v>
      </c>
      <c r="I17" t="str">
        <f>IF(ISBLANK(Table1[[#This Row],[Purchase mode]]),"cash",Table1[[#This Row],[Purchase mode]])</f>
        <v>cash</v>
      </c>
    </row>
    <row r="18" spans="3:9" x14ac:dyDescent="0.3">
      <c r="C18" s="5">
        <v>6578</v>
      </c>
      <c r="D18" s="3" t="s">
        <v>37</v>
      </c>
      <c r="E18" s="3" t="s">
        <v>30</v>
      </c>
      <c r="F18" s="3" t="s">
        <v>114</v>
      </c>
      <c r="G18" s="3">
        <v>38.159999999999997</v>
      </c>
      <c r="H18" t="str">
        <f>IF(ISBLANK(Table1[[#This Row],[Purchase mode]]),"Unknown",Table1[[#This Row],[Purchase mode]])</f>
        <v>credit</v>
      </c>
      <c r="I18" t="str">
        <f>IF(ISBLANK(Table1[[#This Row],[Purchase mode]]),"cash",Table1[[#This Row],[Purchase mode]])</f>
        <v>credit</v>
      </c>
    </row>
    <row r="19" spans="3:9" x14ac:dyDescent="0.3">
      <c r="C19" s="5">
        <v>9322</v>
      </c>
      <c r="D19" s="3" t="s">
        <v>38</v>
      </c>
      <c r="E19" s="3" t="s">
        <v>28</v>
      </c>
      <c r="F19" s="3" t="s">
        <v>115</v>
      </c>
      <c r="G19" s="3">
        <v>2</v>
      </c>
      <c r="H19" t="str">
        <f>IF(ISBLANK(Table1[[#This Row],[Purchase mode]]),"Unknown",Table1[[#This Row],[Purchase mode]])</f>
        <v>cash</v>
      </c>
      <c r="I19" t="str">
        <f>IF(ISBLANK(Table1[[#This Row],[Purchase mode]]),"cash",Table1[[#This Row],[Purchase mode]])</f>
        <v>cash</v>
      </c>
    </row>
    <row r="20" spans="3:9" x14ac:dyDescent="0.3">
      <c r="C20" s="5">
        <v>2685</v>
      </c>
      <c r="D20" s="3" t="s">
        <v>39</v>
      </c>
      <c r="E20" s="3" t="s">
        <v>26</v>
      </c>
      <c r="F20" s="3" t="s">
        <v>113</v>
      </c>
      <c r="G20" s="3">
        <v>26.46</v>
      </c>
      <c r="H20" t="str">
        <f>IF(ISBLANK(Table1[[#This Row],[Purchase mode]]),"Unknown",Table1[[#This Row],[Purchase mode]])</f>
        <v>debit</v>
      </c>
      <c r="I20" t="str">
        <f>IF(ISBLANK(Table1[[#This Row],[Purchase mode]]),"cash",Table1[[#This Row],[Purchase mode]])</f>
        <v>debit</v>
      </c>
    </row>
    <row r="21" spans="3:9" x14ac:dyDescent="0.3">
      <c r="C21" s="5">
        <v>1769</v>
      </c>
      <c r="D21" s="3" t="s">
        <v>40</v>
      </c>
      <c r="E21" s="3" t="s">
        <v>32</v>
      </c>
      <c r="F21" s="3" t="s">
        <v>114</v>
      </c>
      <c r="G21" s="3">
        <v>21.98</v>
      </c>
      <c r="H21" t="str">
        <f>IF(ISBLANK(Table1[[#This Row],[Purchase mode]]),"Unknown",Table1[[#This Row],[Purchase mode]])</f>
        <v>credit</v>
      </c>
      <c r="I21" t="str">
        <f>IF(ISBLANK(Table1[[#This Row],[Purchase mode]]),"cash",Table1[[#This Row],[Purchase mode]])</f>
        <v>credit</v>
      </c>
    </row>
    <row r="22" spans="3:9" x14ac:dyDescent="0.3">
      <c r="C22" s="5">
        <v>7949</v>
      </c>
      <c r="D22" s="3" t="s">
        <v>25</v>
      </c>
      <c r="E22" s="3" t="s">
        <v>32</v>
      </c>
      <c r="F22" s="3" t="s">
        <v>115</v>
      </c>
      <c r="G22" s="3">
        <v>23.66</v>
      </c>
      <c r="H22" t="str">
        <f>IF(ISBLANK(Table1[[#This Row],[Purchase mode]]),"Unknown",Table1[[#This Row],[Purchase mode]])</f>
        <v>cash</v>
      </c>
      <c r="I22" t="str">
        <f>IF(ISBLANK(Table1[[#This Row],[Purchase mode]]),"cash",Table1[[#This Row],[Purchase mode]])</f>
        <v>cash</v>
      </c>
    </row>
    <row r="23" spans="3:9" x14ac:dyDescent="0.3">
      <c r="C23" s="5">
        <v>3433</v>
      </c>
      <c r="D23" s="3" t="s">
        <v>41</v>
      </c>
      <c r="E23" s="3" t="s">
        <v>26</v>
      </c>
      <c r="F23" s="3"/>
      <c r="G23" s="3">
        <v>32.43</v>
      </c>
      <c r="H23" t="str">
        <f>IF(ISBLANK(Table1[[#This Row],[Purchase mode]]),"Unknown",Table1[[#This Row],[Purchase mode]])</f>
        <v>Unknown</v>
      </c>
      <c r="I23" t="str">
        <f>IF(ISBLANK(Table1[[#This Row],[Purchase mode]]),"cash",Table1[[#This Row],[Purchase mode]])</f>
        <v>cash</v>
      </c>
    </row>
    <row r="24" spans="3:9" x14ac:dyDescent="0.3">
      <c r="C24" s="5">
        <v>6311</v>
      </c>
      <c r="D24" s="3" t="s">
        <v>42</v>
      </c>
      <c r="E24" s="3" t="s">
        <v>43</v>
      </c>
      <c r="F24" s="3"/>
      <c r="G24" s="3"/>
      <c r="H24" t="str">
        <f>IF(ISBLANK(Table1[[#This Row],[Purchase mode]]),"Unknown",Table1[[#This Row],[Purchase mode]])</f>
        <v>Unknown</v>
      </c>
      <c r="I24" t="str">
        <f>IF(ISBLANK(Table1[[#This Row],[Purchase mode]]),"cash",Table1[[#This Row],[Purchase mode]])</f>
        <v>cash</v>
      </c>
    </row>
    <row r="25" spans="3:9" x14ac:dyDescent="0.3">
      <c r="C25" s="5">
        <v>6051</v>
      </c>
      <c r="D25" s="3" t="s">
        <v>44</v>
      </c>
      <c r="E25" s="3" t="s">
        <v>26</v>
      </c>
      <c r="F25" s="3"/>
      <c r="G25" s="3">
        <v>27.3</v>
      </c>
      <c r="H25" t="str">
        <f>IF(ISBLANK(Table1[[#This Row],[Purchase mode]]),"Unknown",Table1[[#This Row],[Purchase mode]])</f>
        <v>Unknown</v>
      </c>
      <c r="I25" t="str">
        <f>IF(ISBLANK(Table1[[#This Row],[Purchase mode]]),"cash",Table1[[#This Row],[Purchase mode]])</f>
        <v>cash</v>
      </c>
    </row>
    <row r="26" spans="3:9" x14ac:dyDescent="0.3">
      <c r="C26" s="5">
        <v>7420</v>
      </c>
      <c r="D26" s="3" t="s">
        <v>45</v>
      </c>
      <c r="E26" s="3" t="s">
        <v>46</v>
      </c>
      <c r="F26" s="3" t="s">
        <v>114</v>
      </c>
      <c r="G26" s="3"/>
      <c r="H26" t="str">
        <f>IF(ISBLANK(Table1[[#This Row],[Purchase mode]]),"Unknown",Table1[[#This Row],[Purchase mode]])</f>
        <v>credit</v>
      </c>
      <c r="I26" t="str">
        <f>IF(ISBLANK(Table1[[#This Row],[Purchase mode]]),"cash",Table1[[#This Row],[Purchase mode]])</f>
        <v>credit</v>
      </c>
    </row>
    <row r="27" spans="3:9" x14ac:dyDescent="0.3">
      <c r="C27" s="5">
        <v>2184</v>
      </c>
      <c r="D27" s="3" t="s">
        <v>47</v>
      </c>
      <c r="E27" s="3" t="s">
        <v>46</v>
      </c>
      <c r="F27" s="3" t="s">
        <v>115</v>
      </c>
      <c r="G27" s="3">
        <v>39.94</v>
      </c>
      <c r="H27" t="str">
        <f>IF(ISBLANK(Table1[[#This Row],[Purchase mode]]),"Unknown",Table1[[#This Row],[Purchase mode]])</f>
        <v>cash</v>
      </c>
      <c r="I27" t="str">
        <f>IF(ISBLANK(Table1[[#This Row],[Purchase mode]]),"cash",Table1[[#This Row],[Purchase mode]])</f>
        <v>cash</v>
      </c>
    </row>
    <row r="28" spans="3:9" x14ac:dyDescent="0.3">
      <c r="C28" s="5">
        <v>5555</v>
      </c>
      <c r="D28" s="3" t="s">
        <v>48</v>
      </c>
      <c r="E28" s="3" t="s">
        <v>46</v>
      </c>
      <c r="F28" s="3" t="s">
        <v>113</v>
      </c>
      <c r="G28" s="3">
        <v>22.99</v>
      </c>
      <c r="H28" t="str">
        <f>IF(ISBLANK(Table1[[#This Row],[Purchase mode]]),"Unknown",Table1[[#This Row],[Purchase mode]])</f>
        <v>debit</v>
      </c>
      <c r="I28" t="str">
        <f>IF(ISBLANK(Table1[[#This Row],[Purchase mode]]),"cash",Table1[[#This Row],[Purchase mode]])</f>
        <v>debit</v>
      </c>
    </row>
    <row r="29" spans="3:9" x14ac:dyDescent="0.3">
      <c r="C29" s="5">
        <v>4385</v>
      </c>
      <c r="D29" s="3" t="s">
        <v>49</v>
      </c>
      <c r="E29" s="3" t="s">
        <v>50</v>
      </c>
      <c r="F29" s="3" t="s">
        <v>114</v>
      </c>
      <c r="G29" s="3">
        <v>32.51</v>
      </c>
      <c r="H29" t="str">
        <f>IF(ISBLANK(Table1[[#This Row],[Purchase mode]]),"Unknown",Table1[[#This Row],[Purchase mode]])</f>
        <v>credit</v>
      </c>
      <c r="I29" t="str">
        <f>IF(ISBLANK(Table1[[#This Row],[Purchase mode]]),"cash",Table1[[#This Row],[Purchase mode]])</f>
        <v>credit</v>
      </c>
    </row>
    <row r="30" spans="3:9" x14ac:dyDescent="0.3">
      <c r="C30" s="5">
        <v>7396</v>
      </c>
      <c r="D30" s="3" t="s">
        <v>51</v>
      </c>
      <c r="E30" s="3" t="s">
        <v>50</v>
      </c>
      <c r="F30" s="3" t="s">
        <v>115</v>
      </c>
      <c r="G30" s="3">
        <v>24.13</v>
      </c>
      <c r="H30" t="str">
        <f>IF(ISBLANK(Table1[[#This Row],[Purchase mode]]),"Unknown",Table1[[#This Row],[Purchase mode]])</f>
        <v>cash</v>
      </c>
      <c r="I30" t="str">
        <f>IF(ISBLANK(Table1[[#This Row],[Purchase mode]]),"cash",Table1[[#This Row],[Purchase mode]])</f>
        <v>cash</v>
      </c>
    </row>
    <row r="31" spans="3:9" x14ac:dyDescent="0.3">
      <c r="C31" s="5">
        <v>9666</v>
      </c>
      <c r="D31" s="3" t="s">
        <v>52</v>
      </c>
      <c r="E31" s="3" t="s">
        <v>26</v>
      </c>
      <c r="F31" s="3"/>
      <c r="G31" s="3"/>
      <c r="H31" t="str">
        <f>IF(ISBLANK(Table1[[#This Row],[Purchase mode]]),"Unknown",Table1[[#This Row],[Purchase mode]])</f>
        <v>Unknown</v>
      </c>
      <c r="I31" t="str">
        <f>IF(ISBLANK(Table1[[#This Row],[Purchase mode]]),"cash",Table1[[#This Row],[Purchase mode]])</f>
        <v>cash</v>
      </c>
    </row>
    <row r="32" spans="3:9" x14ac:dyDescent="0.3">
      <c r="C32" s="5">
        <v>3558</v>
      </c>
      <c r="D32" s="3" t="s">
        <v>45</v>
      </c>
      <c r="E32" s="3" t="s">
        <v>46</v>
      </c>
      <c r="F32" s="3"/>
      <c r="G32" s="3">
        <v>24.55</v>
      </c>
      <c r="H32" t="str">
        <f>IF(ISBLANK(Table1[[#This Row],[Purchase mode]]),"Unknown",Table1[[#This Row],[Purchase mode]])</f>
        <v>Unknown</v>
      </c>
      <c r="I32" t="str">
        <f>IF(ISBLANK(Table1[[#This Row],[Purchase mode]]),"cash",Table1[[#This Row],[Purchase mode]])</f>
        <v>cash</v>
      </c>
    </row>
    <row r="33" spans="3:9" x14ac:dyDescent="0.3">
      <c r="C33" s="5">
        <v>8849</v>
      </c>
      <c r="D33" s="3" t="s">
        <v>53</v>
      </c>
      <c r="E33" s="3" t="s">
        <v>30</v>
      </c>
      <c r="F33" s="3"/>
      <c r="G33" s="3">
        <v>57.78</v>
      </c>
      <c r="H33" t="str">
        <f>IF(ISBLANK(Table1[[#This Row],[Purchase mode]]),"Unknown",Table1[[#This Row],[Purchase mode]])</f>
        <v>Unknown</v>
      </c>
      <c r="I33" t="str">
        <f>IF(ISBLANK(Table1[[#This Row],[Purchase mode]]),"cash",Table1[[#This Row],[Purchase mode]])</f>
        <v>cash</v>
      </c>
    </row>
    <row r="34" spans="3:9" x14ac:dyDescent="0.3">
      <c r="C34" s="5">
        <v>3047</v>
      </c>
      <c r="D34" s="3" t="s">
        <v>54</v>
      </c>
      <c r="E34" s="3" t="s">
        <v>43</v>
      </c>
      <c r="F34" s="3" t="s">
        <v>114</v>
      </c>
      <c r="G34" s="3">
        <v>4.22</v>
      </c>
      <c r="H34" t="str">
        <f>IF(ISBLANK(Table1[[#This Row],[Purchase mode]]),"Unknown",Table1[[#This Row],[Purchase mode]])</f>
        <v>credit</v>
      </c>
      <c r="I34" t="str">
        <f>IF(ISBLANK(Table1[[#This Row],[Purchase mode]]),"cash",Table1[[#This Row],[Purchase mode]])</f>
        <v>credit</v>
      </c>
    </row>
    <row r="35" spans="3:9" x14ac:dyDescent="0.3">
      <c r="C35" s="5">
        <v>3747</v>
      </c>
      <c r="D35" s="3" t="s">
        <v>55</v>
      </c>
      <c r="E35" s="3" t="s">
        <v>28</v>
      </c>
      <c r="F35" s="3" t="s">
        <v>115</v>
      </c>
      <c r="G35" s="3">
        <v>37.729999999999997</v>
      </c>
      <c r="H35" t="str">
        <f>IF(ISBLANK(Table1[[#This Row],[Purchase mode]]),"Unknown",Table1[[#This Row],[Purchase mode]])</f>
        <v>cash</v>
      </c>
      <c r="I35" t="str">
        <f>IF(ISBLANK(Table1[[#This Row],[Purchase mode]]),"cash",Table1[[#This Row],[Purchase mode]])</f>
        <v>cash</v>
      </c>
    </row>
    <row r="36" spans="3:9" x14ac:dyDescent="0.3">
      <c r="C36" s="5">
        <v>1189</v>
      </c>
      <c r="D36" s="3" t="s">
        <v>56</v>
      </c>
      <c r="E36" s="3" t="s">
        <v>43</v>
      </c>
      <c r="F36" s="3" t="s">
        <v>113</v>
      </c>
      <c r="G36" s="3">
        <v>44.53</v>
      </c>
      <c r="H36" t="str">
        <f>IF(ISBLANK(Table1[[#This Row],[Purchase mode]]),"Unknown",Table1[[#This Row],[Purchase mode]])</f>
        <v>debit</v>
      </c>
      <c r="I36" t="str">
        <f>IF(ISBLANK(Table1[[#This Row],[Purchase mode]]),"cash",Table1[[#This Row],[Purchase mode]])</f>
        <v>debit</v>
      </c>
    </row>
    <row r="37" spans="3:9" x14ac:dyDescent="0.3">
      <c r="C37" s="5">
        <v>3734</v>
      </c>
      <c r="D37" s="3" t="s">
        <v>55</v>
      </c>
      <c r="E37" s="3" t="s">
        <v>50</v>
      </c>
      <c r="F37" s="3" t="s">
        <v>114</v>
      </c>
      <c r="G37" s="3">
        <v>5.19</v>
      </c>
      <c r="H37" t="str">
        <f>IF(ISBLANK(Table1[[#This Row],[Purchase mode]]),"Unknown",Table1[[#This Row],[Purchase mode]])</f>
        <v>credit</v>
      </c>
      <c r="I37" t="str">
        <f>IF(ISBLANK(Table1[[#This Row],[Purchase mode]]),"cash",Table1[[#This Row],[Purchase mode]])</f>
        <v>credit</v>
      </c>
    </row>
    <row r="38" spans="3:9" x14ac:dyDescent="0.3">
      <c r="C38" s="5">
        <v>4005</v>
      </c>
      <c r="D38" s="3" t="s">
        <v>57</v>
      </c>
      <c r="E38" s="3" t="s">
        <v>26</v>
      </c>
      <c r="F38" s="3" t="s">
        <v>115</v>
      </c>
      <c r="G38" s="3"/>
      <c r="H38" t="str">
        <f>IF(ISBLANK(Table1[[#This Row],[Purchase mode]]),"Unknown",Table1[[#This Row],[Purchase mode]])</f>
        <v>cash</v>
      </c>
      <c r="I38" t="str">
        <f>IF(ISBLANK(Table1[[#This Row],[Purchase mode]]),"cash",Table1[[#This Row],[Purchase mode]])</f>
        <v>cash</v>
      </c>
    </row>
    <row r="39" spans="3:9" x14ac:dyDescent="0.3">
      <c r="C39" s="5">
        <v>5658</v>
      </c>
      <c r="D39" s="3" t="s">
        <v>58</v>
      </c>
      <c r="E39" s="3" t="s">
        <v>26</v>
      </c>
      <c r="F39" s="3"/>
      <c r="G39" s="3">
        <v>29.81</v>
      </c>
      <c r="H39" t="str">
        <f>IF(ISBLANK(Table1[[#This Row],[Purchase mode]]),"Unknown",Table1[[#This Row],[Purchase mode]])</f>
        <v>Unknown</v>
      </c>
      <c r="I39" t="str">
        <f>IF(ISBLANK(Table1[[#This Row],[Purchase mode]]),"cash",Table1[[#This Row],[Purchase mode]])</f>
        <v>cash</v>
      </c>
    </row>
    <row r="40" spans="3:9" x14ac:dyDescent="0.3">
      <c r="C40" s="5">
        <v>2899</v>
      </c>
      <c r="D40" s="3" t="s">
        <v>59</v>
      </c>
      <c r="E40" s="3" t="s">
        <v>26</v>
      </c>
      <c r="F40" s="3" t="s">
        <v>114</v>
      </c>
      <c r="G40" s="3">
        <v>45.4</v>
      </c>
      <c r="H40" t="str">
        <f>IF(ISBLANK(Table1[[#This Row],[Purchase mode]]),"Unknown",Table1[[#This Row],[Purchase mode]])</f>
        <v>credit</v>
      </c>
      <c r="I40" t="str">
        <f>IF(ISBLANK(Table1[[#This Row],[Purchase mode]]),"cash",Table1[[#This Row],[Purchase mode]])</f>
        <v>credit</v>
      </c>
    </row>
    <row r="41" spans="3:9" x14ac:dyDescent="0.3">
      <c r="C41" s="5">
        <v>8734</v>
      </c>
      <c r="D41" s="3" t="s">
        <v>60</v>
      </c>
      <c r="E41" s="3" t="s">
        <v>50</v>
      </c>
      <c r="F41" s="3"/>
      <c r="G41" s="3">
        <v>4.5</v>
      </c>
      <c r="H41" t="str">
        <f>IF(ISBLANK(Table1[[#This Row],[Purchase mode]]),"Unknown",Table1[[#This Row],[Purchase mode]])</f>
        <v>Unknown</v>
      </c>
      <c r="I41" t="str">
        <f>IF(ISBLANK(Table1[[#This Row],[Purchase mode]]),"cash",Table1[[#This Row],[Purchase mode]])</f>
        <v>cash</v>
      </c>
    </row>
    <row r="42" spans="3:9" x14ac:dyDescent="0.3">
      <c r="C42" s="5">
        <v>2267</v>
      </c>
      <c r="D42" s="3" t="s">
        <v>61</v>
      </c>
      <c r="E42" s="3" t="s">
        <v>26</v>
      </c>
      <c r="F42" s="3"/>
      <c r="G42" s="3">
        <v>36.79</v>
      </c>
      <c r="H42" t="str">
        <f>IF(ISBLANK(Table1[[#This Row],[Purchase mode]]),"Unknown",Table1[[#This Row],[Purchase mode]])</f>
        <v>Unknown</v>
      </c>
      <c r="I42" t="str">
        <f>IF(ISBLANK(Table1[[#This Row],[Purchase mode]]),"cash",Table1[[#This Row],[Purchase mode]])</f>
        <v>cash</v>
      </c>
    </row>
    <row r="43" spans="3:9" x14ac:dyDescent="0.3">
      <c r="C43" s="5">
        <v>2528</v>
      </c>
      <c r="D43" s="3" t="s">
        <v>59</v>
      </c>
      <c r="E43" s="3" t="s">
        <v>32</v>
      </c>
      <c r="F43" s="3" t="s">
        <v>114</v>
      </c>
      <c r="G43" s="3">
        <v>57.36</v>
      </c>
      <c r="H43" t="str">
        <f>IF(ISBLANK(Table1[[#This Row],[Purchase mode]]),"Unknown",Table1[[#This Row],[Purchase mode]])</f>
        <v>credit</v>
      </c>
      <c r="I43" t="str">
        <f>IF(ISBLANK(Table1[[#This Row],[Purchase mode]]),"cash",Table1[[#This Row],[Purchase mode]])</f>
        <v>credit</v>
      </c>
    </row>
    <row r="44" spans="3:9" x14ac:dyDescent="0.3">
      <c r="C44" s="5">
        <v>4556</v>
      </c>
      <c r="D44" s="3" t="s">
        <v>62</v>
      </c>
      <c r="E44" s="3" t="s">
        <v>50</v>
      </c>
      <c r="F44" s="3" t="s">
        <v>115</v>
      </c>
      <c r="G44" s="3">
        <v>44.97</v>
      </c>
      <c r="H44" t="str">
        <f>IF(ISBLANK(Table1[[#This Row],[Purchase mode]]),"Unknown",Table1[[#This Row],[Purchase mode]])</f>
        <v>cash</v>
      </c>
      <c r="I44" t="str">
        <f>IF(ISBLANK(Table1[[#This Row],[Purchase mode]]),"cash",Table1[[#This Row],[Purchase mode]])</f>
        <v>cash</v>
      </c>
    </row>
    <row r="45" spans="3:9" x14ac:dyDescent="0.3">
      <c r="C45" s="5">
        <v>4890</v>
      </c>
      <c r="D45" s="3" t="s">
        <v>63</v>
      </c>
      <c r="E45" s="3" t="s">
        <v>46</v>
      </c>
      <c r="F45" s="3" t="s">
        <v>113</v>
      </c>
      <c r="G45" s="3">
        <v>15.54</v>
      </c>
      <c r="H45" t="str">
        <f>IF(ISBLANK(Table1[[#This Row],[Purchase mode]]),"Unknown",Table1[[#This Row],[Purchase mode]])</f>
        <v>debit</v>
      </c>
      <c r="I45" t="str">
        <f>IF(ISBLANK(Table1[[#This Row],[Purchase mode]]),"cash",Table1[[#This Row],[Purchase mode]])</f>
        <v>debit</v>
      </c>
    </row>
    <row r="46" spans="3:9" x14ac:dyDescent="0.3">
      <c r="C46" s="5">
        <v>9838</v>
      </c>
      <c r="D46" s="3" t="s">
        <v>64</v>
      </c>
      <c r="E46" s="3" t="s">
        <v>26</v>
      </c>
      <c r="F46" s="3" t="s">
        <v>114</v>
      </c>
      <c r="G46" s="3">
        <v>45.62</v>
      </c>
      <c r="H46" t="str">
        <f>IF(ISBLANK(Table1[[#This Row],[Purchase mode]]),"Unknown",Table1[[#This Row],[Purchase mode]])</f>
        <v>credit</v>
      </c>
      <c r="I46" t="str">
        <f>IF(ISBLANK(Table1[[#This Row],[Purchase mode]]),"cash",Table1[[#This Row],[Purchase mode]])</f>
        <v>credit</v>
      </c>
    </row>
    <row r="47" spans="3:9" x14ac:dyDescent="0.3">
      <c r="C47" s="5">
        <v>6393</v>
      </c>
      <c r="D47" s="3" t="s">
        <v>65</v>
      </c>
      <c r="E47" s="3" t="s">
        <v>26</v>
      </c>
      <c r="F47" s="3" t="s">
        <v>115</v>
      </c>
      <c r="G47" s="3">
        <v>38.979999999999997</v>
      </c>
      <c r="H47" t="str">
        <f>IF(ISBLANK(Table1[[#This Row],[Purchase mode]]),"Unknown",Table1[[#This Row],[Purchase mode]])</f>
        <v>cash</v>
      </c>
      <c r="I47" t="str">
        <f>IF(ISBLANK(Table1[[#This Row],[Purchase mode]]),"cash",Table1[[#This Row],[Purchase mode]])</f>
        <v>cash</v>
      </c>
    </row>
    <row r="48" spans="3:9" x14ac:dyDescent="0.3">
      <c r="C48" s="5">
        <v>9792</v>
      </c>
      <c r="D48" s="3" t="s">
        <v>66</v>
      </c>
      <c r="E48" s="3" t="s">
        <v>26</v>
      </c>
      <c r="F48" s="3"/>
      <c r="G48" s="3">
        <v>69.63</v>
      </c>
      <c r="H48" t="str">
        <f>IF(ISBLANK(Table1[[#This Row],[Purchase mode]]),"Unknown",Table1[[#This Row],[Purchase mode]])</f>
        <v>Unknown</v>
      </c>
      <c r="I48" t="str">
        <f>IF(ISBLANK(Table1[[#This Row],[Purchase mode]]),"cash",Table1[[#This Row],[Purchase mode]])</f>
        <v>cash</v>
      </c>
    </row>
    <row r="49" spans="3:9" x14ac:dyDescent="0.3">
      <c r="C49" s="5">
        <v>9433</v>
      </c>
      <c r="D49" s="3" t="s">
        <v>67</v>
      </c>
      <c r="E49" s="3" t="s">
        <v>43</v>
      </c>
      <c r="F49" s="3"/>
      <c r="G49" s="3">
        <v>21.4</v>
      </c>
      <c r="H49" t="str">
        <f>IF(ISBLANK(Table1[[#This Row],[Purchase mode]]),"Unknown",Table1[[#This Row],[Purchase mode]])</f>
        <v>Unknown</v>
      </c>
      <c r="I49" t="str">
        <f>IF(ISBLANK(Table1[[#This Row],[Purchase mode]]),"cash",Table1[[#This Row],[Purchase mode]])</f>
        <v>cash</v>
      </c>
    </row>
    <row r="50" spans="3:9" x14ac:dyDescent="0.3">
      <c r="C50" s="5">
        <v>8513</v>
      </c>
      <c r="D50" s="3" t="s">
        <v>68</v>
      </c>
      <c r="E50" s="3" t="s">
        <v>43</v>
      </c>
      <c r="F50" s="3" t="s">
        <v>115</v>
      </c>
      <c r="G50" s="3">
        <v>49.16</v>
      </c>
      <c r="H50" t="str">
        <f>IF(ISBLANK(Table1[[#This Row],[Purchase mode]]),"Unknown",Table1[[#This Row],[Purchase mode]])</f>
        <v>cash</v>
      </c>
      <c r="I50" t="str">
        <f>IF(ISBLANK(Table1[[#This Row],[Purchase mode]]),"cash",Table1[[#This Row],[Purchase mode]])</f>
        <v>cash</v>
      </c>
    </row>
    <row r="51" spans="3:9" x14ac:dyDescent="0.3">
      <c r="C51" s="5">
        <v>3612</v>
      </c>
      <c r="D51" s="3" t="s">
        <v>69</v>
      </c>
      <c r="E51" s="3" t="s">
        <v>28</v>
      </c>
      <c r="F51" s="3" t="s">
        <v>113</v>
      </c>
      <c r="G51" s="3">
        <v>31.6</v>
      </c>
      <c r="H51" t="str">
        <f>IF(ISBLANK(Table1[[#This Row],[Purchase mode]]),"Unknown",Table1[[#This Row],[Purchase mode]])</f>
        <v>debit</v>
      </c>
      <c r="I51" t="str">
        <f>IF(ISBLANK(Table1[[#This Row],[Purchase mode]]),"cash",Table1[[#This Row],[Purchase mode]])</f>
        <v>debit</v>
      </c>
    </row>
    <row r="52" spans="3:9" x14ac:dyDescent="0.3">
      <c r="C52" s="5">
        <v>8041</v>
      </c>
      <c r="D52" s="3" t="s">
        <v>70</v>
      </c>
      <c r="E52" s="3" t="s">
        <v>30</v>
      </c>
      <c r="F52" s="3" t="s">
        <v>114</v>
      </c>
      <c r="G52" s="3">
        <v>46.54</v>
      </c>
      <c r="H52" t="str">
        <f>IF(ISBLANK(Table1[[#This Row],[Purchase mode]]),"Unknown",Table1[[#This Row],[Purchase mode]])</f>
        <v>credit</v>
      </c>
      <c r="I52" t="str">
        <f>IF(ISBLANK(Table1[[#This Row],[Purchase mode]]),"cash",Table1[[#This Row],[Purchase mode]])</f>
        <v>credit</v>
      </c>
    </row>
    <row r="53" spans="3:9" x14ac:dyDescent="0.3">
      <c r="C53" s="5">
        <v>7235</v>
      </c>
      <c r="D53" s="3" t="s">
        <v>71</v>
      </c>
      <c r="E53" s="3" t="s">
        <v>26</v>
      </c>
      <c r="F53" s="3" t="s">
        <v>115</v>
      </c>
      <c r="G53" s="3">
        <v>12</v>
      </c>
      <c r="H53" t="str">
        <f>IF(ISBLANK(Table1[[#This Row],[Purchase mode]]),"Unknown",Table1[[#This Row],[Purchase mode]])</f>
        <v>cash</v>
      </c>
      <c r="I53" t="str">
        <f>IF(ISBLANK(Table1[[#This Row],[Purchase mode]]),"cash",Table1[[#This Row],[Purchase mode]])</f>
        <v>cash</v>
      </c>
    </row>
    <row r="54" spans="3:9" x14ac:dyDescent="0.3">
      <c r="C54" s="5">
        <v>6486</v>
      </c>
      <c r="D54" s="3" t="s">
        <v>72</v>
      </c>
      <c r="E54" s="3" t="s">
        <v>32</v>
      </c>
      <c r="F54" s="3"/>
      <c r="G54" s="3">
        <v>39.21</v>
      </c>
      <c r="H54" t="str">
        <f>IF(ISBLANK(Table1[[#This Row],[Purchase mode]]),"Unknown",Table1[[#This Row],[Purchase mode]])</f>
        <v>Unknown</v>
      </c>
      <c r="I54" t="str">
        <f>IF(ISBLANK(Table1[[#This Row],[Purchase mode]]),"cash",Table1[[#This Row],[Purchase mode]])</f>
        <v>cash</v>
      </c>
    </row>
    <row r="55" spans="3:9" x14ac:dyDescent="0.3">
      <c r="C55" s="5">
        <v>8099</v>
      </c>
      <c r="D55" s="3" t="s">
        <v>73</v>
      </c>
      <c r="E55" s="3" t="s">
        <v>26</v>
      </c>
      <c r="F55" s="3" t="s">
        <v>115</v>
      </c>
      <c r="G55" s="3">
        <v>48.85</v>
      </c>
      <c r="H55" t="str">
        <f>IF(ISBLANK(Table1[[#This Row],[Purchase mode]]),"Unknown",Table1[[#This Row],[Purchase mode]])</f>
        <v>cash</v>
      </c>
      <c r="I55" t="str">
        <f>IF(ISBLANK(Table1[[#This Row],[Purchase mode]]),"cash",Table1[[#This Row],[Purchase mode]])</f>
        <v>cash</v>
      </c>
    </row>
    <row r="56" spans="3:9" x14ac:dyDescent="0.3">
      <c r="C56" s="5">
        <v>1775</v>
      </c>
      <c r="D56" s="3" t="s">
        <v>74</v>
      </c>
      <c r="E56" s="3" t="s">
        <v>26</v>
      </c>
      <c r="F56" s="3"/>
      <c r="G56" s="3">
        <v>21.36</v>
      </c>
      <c r="H56" t="str">
        <f>IF(ISBLANK(Table1[[#This Row],[Purchase mode]]),"Unknown",Table1[[#This Row],[Purchase mode]])</f>
        <v>Unknown</v>
      </c>
      <c r="I56" t="str">
        <f>IF(ISBLANK(Table1[[#This Row],[Purchase mode]]),"cash",Table1[[#This Row],[Purchase mode]])</f>
        <v>cash</v>
      </c>
    </row>
    <row r="57" spans="3:9" x14ac:dyDescent="0.3">
      <c r="C57" s="5">
        <v>9226</v>
      </c>
      <c r="D57" s="3" t="s">
        <v>75</v>
      </c>
      <c r="E57" s="3" t="s">
        <v>46</v>
      </c>
      <c r="F57" s="3" t="s">
        <v>115</v>
      </c>
      <c r="G57" s="3"/>
      <c r="H57" t="str">
        <f>IF(ISBLANK(Table1[[#This Row],[Purchase mode]]),"Unknown",Table1[[#This Row],[Purchase mode]])</f>
        <v>cash</v>
      </c>
      <c r="I57" t="str">
        <f>IF(ISBLANK(Table1[[#This Row],[Purchase mode]]),"cash",Table1[[#This Row],[Purchase mode]])</f>
        <v>cash</v>
      </c>
    </row>
    <row r="58" spans="3:9" x14ac:dyDescent="0.3">
      <c r="C58" s="5">
        <v>4152</v>
      </c>
      <c r="D58" s="3" t="s">
        <v>76</v>
      </c>
      <c r="E58" s="3" t="s">
        <v>32</v>
      </c>
      <c r="F58" s="3" t="s">
        <v>113</v>
      </c>
      <c r="G58" s="3">
        <v>38.6</v>
      </c>
      <c r="H58" t="str">
        <f>IF(ISBLANK(Table1[[#This Row],[Purchase mode]]),"Unknown",Table1[[#This Row],[Purchase mode]])</f>
        <v>debit</v>
      </c>
      <c r="I58" t="str">
        <f>IF(ISBLANK(Table1[[#This Row],[Purchase mode]]),"cash",Table1[[#This Row],[Purchase mode]])</f>
        <v>debit</v>
      </c>
    </row>
    <row r="59" spans="3:9" x14ac:dyDescent="0.3">
      <c r="C59" s="5">
        <v>2585</v>
      </c>
      <c r="D59" s="3" t="s">
        <v>77</v>
      </c>
      <c r="E59" s="3" t="s">
        <v>28</v>
      </c>
      <c r="F59" s="3" t="s">
        <v>114</v>
      </c>
      <c r="G59" s="3">
        <v>45.38</v>
      </c>
      <c r="H59" t="str">
        <f>IF(ISBLANK(Table1[[#This Row],[Purchase mode]]),"Unknown",Table1[[#This Row],[Purchase mode]])</f>
        <v>credit</v>
      </c>
      <c r="I59" t="str">
        <f>IF(ISBLANK(Table1[[#This Row],[Purchase mode]]),"cash",Table1[[#This Row],[Purchase mode]])</f>
        <v>credit</v>
      </c>
    </row>
    <row r="60" spans="3:9" x14ac:dyDescent="0.3">
      <c r="C60" s="5">
        <v>4943</v>
      </c>
      <c r="D60" s="3" t="s">
        <v>78</v>
      </c>
      <c r="E60" s="3" t="s">
        <v>32</v>
      </c>
      <c r="F60" s="3" t="s">
        <v>115</v>
      </c>
      <c r="G60" s="3">
        <v>22.65</v>
      </c>
      <c r="H60" t="str">
        <f>IF(ISBLANK(Table1[[#This Row],[Purchase mode]]),"Unknown",Table1[[#This Row],[Purchase mode]])</f>
        <v>cash</v>
      </c>
      <c r="I60" t="str">
        <f>IF(ISBLANK(Table1[[#This Row],[Purchase mode]]),"cash",Table1[[#This Row],[Purchase mode]])</f>
        <v>cash</v>
      </c>
    </row>
    <row r="61" spans="3:9" x14ac:dyDescent="0.3">
      <c r="C61" s="5">
        <v>8555</v>
      </c>
      <c r="D61" s="3" t="s">
        <v>79</v>
      </c>
      <c r="E61" s="3" t="s">
        <v>46</v>
      </c>
      <c r="F61" s="3"/>
      <c r="G61" s="3">
        <v>39.950000000000003</v>
      </c>
      <c r="H61" t="str">
        <f>IF(ISBLANK(Table1[[#This Row],[Purchase mode]]),"Unknown",Table1[[#This Row],[Purchase mode]])</f>
        <v>Unknown</v>
      </c>
      <c r="I61" t="str">
        <f>IF(ISBLANK(Table1[[#This Row],[Purchase mode]]),"cash",Table1[[#This Row],[Purchase mode]])</f>
        <v>cash</v>
      </c>
    </row>
    <row r="62" spans="3:9" x14ac:dyDescent="0.3">
      <c r="C62" s="5">
        <v>4073</v>
      </c>
      <c r="D62" s="3" t="s">
        <v>80</v>
      </c>
      <c r="E62" s="3" t="s">
        <v>30</v>
      </c>
      <c r="F62" s="3"/>
      <c r="G62" s="3">
        <v>17.62</v>
      </c>
      <c r="H62" t="str">
        <f>IF(ISBLANK(Table1[[#This Row],[Purchase mode]]),"Unknown",Table1[[#This Row],[Purchase mode]])</f>
        <v>Unknown</v>
      </c>
      <c r="I62" t="str">
        <f>IF(ISBLANK(Table1[[#This Row],[Purchase mode]]),"cash",Table1[[#This Row],[Purchase mode]])</f>
        <v>cash</v>
      </c>
    </row>
    <row r="63" spans="3:9" x14ac:dyDescent="0.3">
      <c r="C63" s="5">
        <v>2021</v>
      </c>
      <c r="D63" s="3" t="s">
        <v>81</v>
      </c>
      <c r="E63" s="3" t="s">
        <v>32</v>
      </c>
      <c r="F63" s="3"/>
      <c r="G63" s="3">
        <v>39.93</v>
      </c>
      <c r="H63" t="str">
        <f>IF(ISBLANK(Table1[[#This Row],[Purchase mode]]),"Unknown",Table1[[#This Row],[Purchase mode]])</f>
        <v>Unknown</v>
      </c>
      <c r="I63" t="str">
        <f>IF(ISBLANK(Table1[[#This Row],[Purchase mode]]),"cash",Table1[[#This Row],[Purchase mode]])</f>
        <v>cash</v>
      </c>
    </row>
    <row r="64" spans="3:9" x14ac:dyDescent="0.3">
      <c r="C64" s="5">
        <v>4843</v>
      </c>
      <c r="D64" s="3" t="s">
        <v>82</v>
      </c>
      <c r="E64" s="3" t="s">
        <v>26</v>
      </c>
      <c r="F64" s="3"/>
      <c r="G64" s="3">
        <v>19.12</v>
      </c>
      <c r="H64" t="str">
        <f>IF(ISBLANK(Table1[[#This Row],[Purchase mode]]),"Unknown",Table1[[#This Row],[Purchase mode]])</f>
        <v>Unknown</v>
      </c>
      <c r="I64" t="str">
        <f>IF(ISBLANK(Table1[[#This Row],[Purchase mode]]),"cash",Table1[[#This Row],[Purchase mode]])</f>
        <v>cash</v>
      </c>
    </row>
    <row r="65" spans="3:9" x14ac:dyDescent="0.3">
      <c r="C65" s="5">
        <v>8989</v>
      </c>
      <c r="D65" s="3" t="s">
        <v>83</v>
      </c>
      <c r="E65" s="3" t="s">
        <v>26</v>
      </c>
      <c r="F65" s="3"/>
      <c r="G65" s="3">
        <v>5</v>
      </c>
      <c r="H65" t="str">
        <f>IF(ISBLANK(Table1[[#This Row],[Purchase mode]]),"Unknown",Table1[[#This Row],[Purchase mode]])</f>
        <v>Unknown</v>
      </c>
      <c r="I65" t="str">
        <f>IF(ISBLANK(Table1[[#This Row],[Purchase mode]]),"cash",Table1[[#This Row],[Purchase mode]])</f>
        <v>cash</v>
      </c>
    </row>
    <row r="66" spans="3:9" x14ac:dyDescent="0.3">
      <c r="C66" s="5">
        <v>7873</v>
      </c>
      <c r="D66" s="3" t="s">
        <v>47</v>
      </c>
      <c r="E66" s="3" t="s">
        <v>50</v>
      </c>
      <c r="F66" s="8"/>
      <c r="G66" s="3">
        <v>35.31</v>
      </c>
      <c r="H66" t="str">
        <f>IF(ISBLANK(Table1[[#This Row],[Purchase mode]]),"Unknown",Table1[[#This Row],[Purchase mode]])</f>
        <v>Unknown</v>
      </c>
      <c r="I66" t="str">
        <f>IF(ISBLANK(Table1[[#This Row],[Purchase mode]]),"cash",Table1[[#This Row],[Purchase mode]])</f>
        <v>cash</v>
      </c>
    </row>
    <row r="67" spans="3:9" x14ac:dyDescent="0.3">
      <c r="C67" s="5">
        <v>6675</v>
      </c>
      <c r="D67" s="3" t="s">
        <v>84</v>
      </c>
      <c r="E67" s="3" t="s">
        <v>26</v>
      </c>
      <c r="F67" s="3"/>
      <c r="G67" s="3">
        <v>27.61</v>
      </c>
      <c r="H67" t="str">
        <f>IF(ISBLANK(Table1[[#This Row],[Purchase mode]]),"Unknown",Table1[[#This Row],[Purchase mode]])</f>
        <v>Unknown</v>
      </c>
      <c r="I67" t="str">
        <f>IF(ISBLANK(Table1[[#This Row],[Purchase mode]]),"cash",Table1[[#This Row],[Purchase mode]])</f>
        <v>cash</v>
      </c>
    </row>
    <row r="68" spans="3:9" x14ac:dyDescent="0.3">
      <c r="C68" s="5">
        <v>1161</v>
      </c>
      <c r="D68" s="3" t="s">
        <v>85</v>
      </c>
      <c r="E68" s="3" t="s">
        <v>43</v>
      </c>
      <c r="F68" s="3"/>
      <c r="G68" s="3">
        <v>29.17</v>
      </c>
      <c r="H68" t="str">
        <f>IF(ISBLANK(Table1[[#This Row],[Purchase mode]]),"Unknown",Table1[[#This Row],[Purchase mode]])</f>
        <v>Unknown</v>
      </c>
      <c r="I68" t="str">
        <f>IF(ISBLANK(Table1[[#This Row],[Purchase mode]]),"cash",Table1[[#This Row],[Purchase mode]])</f>
        <v>cash</v>
      </c>
    </row>
    <row r="69" spans="3:9" x14ac:dyDescent="0.3">
      <c r="C69" s="5">
        <v>5297</v>
      </c>
      <c r="D69" s="3" t="s">
        <v>86</v>
      </c>
      <c r="E69" s="3" t="s">
        <v>28</v>
      </c>
      <c r="F69" s="3"/>
      <c r="G69" s="3">
        <v>35.549999999999997</v>
      </c>
      <c r="H69" t="str">
        <f>IF(ISBLANK(Table1[[#This Row],[Purchase mode]]),"Unknown",Table1[[#This Row],[Purchase mode]])</f>
        <v>Unknown</v>
      </c>
      <c r="I69" t="str">
        <f>IF(ISBLANK(Table1[[#This Row],[Purchase mode]]),"cash",Table1[[#This Row],[Purchase mode]])</f>
        <v>cash</v>
      </c>
    </row>
    <row r="70" spans="3:9" x14ac:dyDescent="0.3">
      <c r="C70" s="5">
        <v>1995</v>
      </c>
      <c r="D70" s="3" t="s">
        <v>87</v>
      </c>
      <c r="E70" s="3" t="s">
        <v>50</v>
      </c>
      <c r="F70" s="3" t="s">
        <v>115</v>
      </c>
      <c r="G70" s="3">
        <v>32.380000000000003</v>
      </c>
      <c r="H70" t="str">
        <f>IF(ISBLANK(Table1[[#This Row],[Purchase mode]]),"Unknown",Table1[[#This Row],[Purchase mode]])</f>
        <v>cash</v>
      </c>
      <c r="I70" t="str">
        <f>IF(ISBLANK(Table1[[#This Row],[Purchase mode]]),"cash",Table1[[#This Row],[Purchase mode]])</f>
        <v>cash</v>
      </c>
    </row>
    <row r="71" spans="3:9" x14ac:dyDescent="0.3">
      <c r="C71" s="5">
        <v>8629</v>
      </c>
      <c r="D71" s="3" t="s">
        <v>88</v>
      </c>
      <c r="E71" s="3" t="s">
        <v>46</v>
      </c>
      <c r="F71" s="3" t="s">
        <v>113</v>
      </c>
      <c r="G71" s="3">
        <v>45.6</v>
      </c>
      <c r="H71" t="str">
        <f>IF(ISBLANK(Table1[[#This Row],[Purchase mode]]),"Unknown",Table1[[#This Row],[Purchase mode]])</f>
        <v>debit</v>
      </c>
      <c r="I71" t="str">
        <f>IF(ISBLANK(Table1[[#This Row],[Purchase mode]]),"cash",Table1[[#This Row],[Purchase mode]])</f>
        <v>debit</v>
      </c>
    </row>
    <row r="72" spans="3:9" x14ac:dyDescent="0.3">
      <c r="C72" s="5">
        <v>2016</v>
      </c>
      <c r="D72" s="3" t="s">
        <v>54</v>
      </c>
      <c r="E72" s="3" t="s">
        <v>43</v>
      </c>
      <c r="F72" s="3" t="s">
        <v>114</v>
      </c>
      <c r="G72" s="3">
        <v>48.96</v>
      </c>
      <c r="H72" t="str">
        <f>IF(ISBLANK(Table1[[#This Row],[Purchase mode]]),"Unknown",Table1[[#This Row],[Purchase mode]])</f>
        <v>credit</v>
      </c>
      <c r="I72" t="str">
        <f>IF(ISBLANK(Table1[[#This Row],[Purchase mode]]),"cash",Table1[[#This Row],[Purchase mode]])</f>
        <v>credit</v>
      </c>
    </row>
    <row r="73" spans="3:9" x14ac:dyDescent="0.3">
      <c r="C73" s="5">
        <v>8869</v>
      </c>
      <c r="D73" s="3" t="s">
        <v>89</v>
      </c>
      <c r="E73" s="3" t="s">
        <v>26</v>
      </c>
      <c r="F73" s="3" t="s">
        <v>115</v>
      </c>
      <c r="G73" s="3">
        <v>49.91</v>
      </c>
      <c r="H73" t="str">
        <f>IF(ISBLANK(Table1[[#This Row],[Purchase mode]]),"Unknown",Table1[[#This Row],[Purchase mode]])</f>
        <v>cash</v>
      </c>
      <c r="I73" t="str">
        <f>IF(ISBLANK(Table1[[#This Row],[Purchase mode]]),"cash",Table1[[#This Row],[Purchase mode]])</f>
        <v>cash</v>
      </c>
    </row>
    <row r="74" spans="3:9" x14ac:dyDescent="0.3">
      <c r="C74" s="5">
        <v>7439</v>
      </c>
      <c r="D74" s="3" t="s">
        <v>90</v>
      </c>
      <c r="E74" s="3" t="s">
        <v>46</v>
      </c>
      <c r="F74" s="3"/>
      <c r="G74" s="3"/>
      <c r="H74" t="str">
        <f>IF(ISBLANK(Table1[[#This Row],[Purchase mode]]),"Unknown",Table1[[#This Row],[Purchase mode]])</f>
        <v>Unknown</v>
      </c>
      <c r="I74" t="str">
        <f>IF(ISBLANK(Table1[[#This Row],[Purchase mode]]),"cash",Table1[[#This Row],[Purchase mode]])</f>
        <v>cash</v>
      </c>
    </row>
    <row r="75" spans="3:9" x14ac:dyDescent="0.3">
      <c r="C75" s="5">
        <v>8892</v>
      </c>
      <c r="D75" s="3" t="s">
        <v>91</v>
      </c>
      <c r="E75" s="3" t="s">
        <v>46</v>
      </c>
      <c r="F75" s="3" t="s">
        <v>115</v>
      </c>
      <c r="G75" s="3">
        <v>45.62</v>
      </c>
      <c r="H75" t="str">
        <f>IF(ISBLANK(Table1[[#This Row],[Purchase mode]]),"Unknown",Table1[[#This Row],[Purchase mode]])</f>
        <v>cash</v>
      </c>
      <c r="I75" t="str">
        <f>IF(ISBLANK(Table1[[#This Row],[Purchase mode]]),"cash",Table1[[#This Row],[Purchase mode]])</f>
        <v>cash</v>
      </c>
    </row>
    <row r="76" spans="3:9" x14ac:dyDescent="0.3">
      <c r="C76" s="5">
        <v>7863</v>
      </c>
      <c r="D76" s="3" t="s">
        <v>92</v>
      </c>
      <c r="E76" s="3" t="s">
        <v>50</v>
      </c>
      <c r="F76" s="3"/>
      <c r="G76" s="3">
        <v>47.18</v>
      </c>
      <c r="H76" t="str">
        <f>IF(ISBLANK(Table1[[#This Row],[Purchase mode]]),"Unknown",Table1[[#This Row],[Purchase mode]])</f>
        <v>Unknown</v>
      </c>
      <c r="I76" t="str">
        <f>IF(ISBLANK(Table1[[#This Row],[Purchase mode]]),"cash",Table1[[#This Row],[Purchase mode]])</f>
        <v>cash</v>
      </c>
    </row>
    <row r="77" spans="3:9" x14ac:dyDescent="0.3">
      <c r="C77" s="5">
        <v>8916</v>
      </c>
      <c r="D77" s="3" t="s">
        <v>93</v>
      </c>
      <c r="E77" s="3" t="s">
        <v>30</v>
      </c>
      <c r="F77" s="3" t="s">
        <v>115</v>
      </c>
      <c r="G77" s="3">
        <v>33.6</v>
      </c>
      <c r="H77" t="str">
        <f>IF(ISBLANK(Table1[[#This Row],[Purchase mode]]),"Unknown",Table1[[#This Row],[Purchase mode]])</f>
        <v>cash</v>
      </c>
      <c r="I77" t="str">
        <f>IF(ISBLANK(Table1[[#This Row],[Purchase mode]]),"cash",Table1[[#This Row],[Purchase mode]])</f>
        <v>cash</v>
      </c>
    </row>
    <row r="78" spans="3:9" x14ac:dyDescent="0.3">
      <c r="C78" s="5">
        <v>9529</v>
      </c>
      <c r="D78" s="3" t="s">
        <v>94</v>
      </c>
      <c r="E78" s="3" t="s">
        <v>28</v>
      </c>
      <c r="F78" s="3"/>
      <c r="G78" s="3">
        <v>34.61</v>
      </c>
      <c r="H78" t="str">
        <f>IF(ISBLANK(Table1[[#This Row],[Purchase mode]]),"Unknown",Table1[[#This Row],[Purchase mode]])</f>
        <v>Unknown</v>
      </c>
      <c r="I78" t="str">
        <f>IF(ISBLANK(Table1[[#This Row],[Purchase mode]]),"cash",Table1[[#This Row],[Purchase mode]])</f>
        <v>cash</v>
      </c>
    </row>
    <row r="79" spans="3:9" x14ac:dyDescent="0.3">
      <c r="C79" s="5">
        <v>1878</v>
      </c>
      <c r="D79" s="3" t="s">
        <v>95</v>
      </c>
      <c r="E79" s="3" t="s">
        <v>28</v>
      </c>
      <c r="F79" s="3"/>
      <c r="G79" s="3">
        <v>4.1100000000000003</v>
      </c>
      <c r="H79" t="str">
        <f>IF(ISBLANK(Table1[[#This Row],[Purchase mode]]),"Unknown",Table1[[#This Row],[Purchase mode]])</f>
        <v>Unknown</v>
      </c>
      <c r="I79" t="str">
        <f>IF(ISBLANK(Table1[[#This Row],[Purchase mode]]),"cash",Table1[[#This Row],[Purchase mode]])</f>
        <v>cash</v>
      </c>
    </row>
    <row r="80" spans="3:9" x14ac:dyDescent="0.3">
      <c r="C80" s="5">
        <v>5887</v>
      </c>
      <c r="D80" s="3" t="s">
        <v>54</v>
      </c>
      <c r="E80" s="3" t="s">
        <v>28</v>
      </c>
      <c r="F80" s="3" t="s">
        <v>115</v>
      </c>
      <c r="G80" s="3">
        <v>31.7</v>
      </c>
      <c r="H80" t="str">
        <f>IF(ISBLANK(Table1[[#This Row],[Purchase mode]]),"Unknown",Table1[[#This Row],[Purchase mode]])</f>
        <v>cash</v>
      </c>
      <c r="I80" t="str">
        <f>IF(ISBLANK(Table1[[#This Row],[Purchase mode]]),"cash",Table1[[#This Row],[Purchase mode]])</f>
        <v>cash</v>
      </c>
    </row>
    <row r="81" spans="3:9" x14ac:dyDescent="0.3">
      <c r="C81" s="5">
        <v>5859</v>
      </c>
      <c r="D81" s="3" t="s">
        <v>96</v>
      </c>
      <c r="E81" s="3" t="s">
        <v>30</v>
      </c>
      <c r="F81" s="3"/>
      <c r="G81" s="3">
        <v>1.1299999999999999</v>
      </c>
      <c r="H81" t="str">
        <f>IF(ISBLANK(Table1[[#This Row],[Purchase mode]]),"Unknown",Table1[[#This Row],[Purchase mode]])</f>
        <v>Unknown</v>
      </c>
      <c r="I81" t="str">
        <f>IF(ISBLANK(Table1[[#This Row],[Purchase mode]]),"cash",Table1[[#This Row],[Purchase mode]])</f>
        <v>cash</v>
      </c>
    </row>
    <row r="82" spans="3:9" x14ac:dyDescent="0.3">
      <c r="C82" s="5">
        <v>7331</v>
      </c>
      <c r="D82" s="3" t="s">
        <v>97</v>
      </c>
      <c r="E82" s="3" t="s">
        <v>26</v>
      </c>
      <c r="F82" s="3"/>
      <c r="G82" s="3">
        <v>52.2</v>
      </c>
      <c r="H82" t="str">
        <f>IF(ISBLANK(Table1[[#This Row],[Purchase mode]]),"Unknown",Table1[[#This Row],[Purchase mode]])</f>
        <v>Unknown</v>
      </c>
      <c r="I82" t="str">
        <f>IF(ISBLANK(Table1[[#This Row],[Purchase mode]]),"cash",Table1[[#This Row],[Purchase mode]])</f>
        <v>cash</v>
      </c>
    </row>
    <row r="83" spans="3:9" x14ac:dyDescent="0.3">
      <c r="C83" s="5">
        <v>9571</v>
      </c>
      <c r="D83" s="3" t="s">
        <v>98</v>
      </c>
      <c r="E83" s="3" t="s">
        <v>46</v>
      </c>
      <c r="F83" s="3"/>
      <c r="G83" s="3">
        <v>33.520000000000003</v>
      </c>
      <c r="H83" t="str">
        <f>IF(ISBLANK(Table1[[#This Row],[Purchase mode]]),"Unknown",Table1[[#This Row],[Purchase mode]])</f>
        <v>Unknown</v>
      </c>
      <c r="I83" t="str">
        <f>IF(ISBLANK(Table1[[#This Row],[Purchase mode]]),"cash",Table1[[#This Row],[Purchase mode]])</f>
        <v>cash</v>
      </c>
    </row>
    <row r="84" spans="3:9" x14ac:dyDescent="0.3">
      <c r="C84" s="5">
        <v>9684</v>
      </c>
      <c r="D84" s="3" t="s">
        <v>99</v>
      </c>
      <c r="E84" s="3" t="s">
        <v>46</v>
      </c>
      <c r="F84" s="3" t="s">
        <v>115</v>
      </c>
      <c r="G84" s="3">
        <v>36.909999999999997</v>
      </c>
      <c r="H84" t="str">
        <f>IF(ISBLANK(Table1[[#This Row],[Purchase mode]]),"Unknown",Table1[[#This Row],[Purchase mode]])</f>
        <v>cash</v>
      </c>
      <c r="I84" t="str">
        <f>IF(ISBLANK(Table1[[#This Row],[Purchase mode]]),"cash",Table1[[#This Row],[Purchase mode]])</f>
        <v>cash</v>
      </c>
    </row>
    <row r="85" spans="3:9" x14ac:dyDescent="0.3">
      <c r="C85" s="5">
        <v>8208</v>
      </c>
      <c r="D85" s="3" t="s">
        <v>100</v>
      </c>
      <c r="E85" s="3" t="s">
        <v>43</v>
      </c>
      <c r="F85" s="3"/>
      <c r="G85" s="3">
        <v>64.650000000000006</v>
      </c>
      <c r="H85" t="str">
        <f>IF(ISBLANK(Table1[[#This Row],[Purchase mode]]),"Unknown",Table1[[#This Row],[Purchase mode]])</f>
        <v>Unknown</v>
      </c>
      <c r="I85" t="str">
        <f>IF(ISBLANK(Table1[[#This Row],[Purchase mode]]),"cash",Table1[[#This Row],[Purchase mode]])</f>
        <v>cash</v>
      </c>
    </row>
    <row r="86" spans="3:9" x14ac:dyDescent="0.3">
      <c r="C86" s="5">
        <v>6276</v>
      </c>
      <c r="D86" s="3" t="s">
        <v>101</v>
      </c>
      <c r="E86" s="3" t="s">
        <v>30</v>
      </c>
      <c r="F86" s="3" t="s">
        <v>115</v>
      </c>
      <c r="G86" s="3">
        <v>27.83</v>
      </c>
      <c r="H86" t="str">
        <f>IF(ISBLANK(Table1[[#This Row],[Purchase mode]]),"Unknown",Table1[[#This Row],[Purchase mode]])</f>
        <v>cash</v>
      </c>
      <c r="I86" t="str">
        <f>IF(ISBLANK(Table1[[#This Row],[Purchase mode]]),"cash",Table1[[#This Row],[Purchase mode]])</f>
        <v>cash</v>
      </c>
    </row>
    <row r="87" spans="3:9" x14ac:dyDescent="0.3">
      <c r="C87" s="5">
        <v>3062</v>
      </c>
      <c r="D87" s="3" t="s">
        <v>102</v>
      </c>
      <c r="E87" s="3" t="s">
        <v>30</v>
      </c>
      <c r="F87" s="3"/>
      <c r="G87" s="3">
        <v>38.31</v>
      </c>
      <c r="H87" t="str">
        <f>IF(ISBLANK(Table1[[#This Row],[Purchase mode]]),"Unknown",Table1[[#This Row],[Purchase mode]])</f>
        <v>Unknown</v>
      </c>
      <c r="I87" t="str">
        <f>IF(ISBLANK(Table1[[#This Row],[Purchase mode]]),"cash",Table1[[#This Row],[Purchase mode]])</f>
        <v>cash</v>
      </c>
    </row>
    <row r="88" spans="3:9" x14ac:dyDescent="0.3">
      <c r="C88" s="5">
        <v>1064</v>
      </c>
      <c r="D88" s="3" t="s">
        <v>103</v>
      </c>
      <c r="E88" s="3" t="s">
        <v>30</v>
      </c>
      <c r="F88" s="3"/>
      <c r="G88" s="3">
        <v>32.94</v>
      </c>
      <c r="H88" t="str">
        <f>IF(ISBLANK(Table1[[#This Row],[Purchase mode]]),"Unknown",Table1[[#This Row],[Purchase mode]])</f>
        <v>Unknown</v>
      </c>
      <c r="I88" t="str">
        <f>IF(ISBLANK(Table1[[#This Row],[Purchase mode]]),"cash",Table1[[#This Row],[Purchase mode]])</f>
        <v>cash</v>
      </c>
    </row>
    <row r="89" spans="3:9" x14ac:dyDescent="0.3">
      <c r="C89" s="5">
        <v>9006</v>
      </c>
      <c r="D89" s="3" t="s">
        <v>104</v>
      </c>
      <c r="E89" s="3" t="s">
        <v>26</v>
      </c>
      <c r="F89" s="3"/>
      <c r="G89" s="3">
        <v>37.18</v>
      </c>
      <c r="H89" t="str">
        <f>IF(ISBLANK(Table1[[#This Row],[Purchase mode]]),"Unknown",Table1[[#This Row],[Purchase mode]])</f>
        <v>Unknown</v>
      </c>
      <c r="I89" t="str">
        <f>IF(ISBLANK(Table1[[#This Row],[Purchase mode]]),"cash",Table1[[#This Row],[Purchase mode]])</f>
        <v>cash</v>
      </c>
    </row>
    <row r="90" spans="3:9" x14ac:dyDescent="0.3">
      <c r="C90" s="5">
        <v>3568</v>
      </c>
      <c r="D90" s="3" t="s">
        <v>105</v>
      </c>
      <c r="E90" s="3" t="s">
        <v>28</v>
      </c>
      <c r="F90" s="3"/>
      <c r="G90" s="3">
        <v>29.33</v>
      </c>
      <c r="H90" t="str">
        <f>IF(ISBLANK(Table1[[#This Row],[Purchase mode]]),"Unknown",Table1[[#This Row],[Purchase mode]])</f>
        <v>Unknown</v>
      </c>
      <c r="I90" t="str">
        <f>IF(ISBLANK(Table1[[#This Row],[Purchase mode]]),"cash",Table1[[#This Row],[Purchase mode]])</f>
        <v>cash</v>
      </c>
    </row>
    <row r="91" spans="3:9" x14ac:dyDescent="0.3">
      <c r="C91" s="5">
        <v>6463</v>
      </c>
      <c r="D91" s="3" t="s">
        <v>106</v>
      </c>
      <c r="E91" s="3" t="s">
        <v>43</v>
      </c>
      <c r="F91" s="3" t="s">
        <v>115</v>
      </c>
      <c r="G91" s="3">
        <v>31.86</v>
      </c>
      <c r="H91" t="str">
        <f>IF(ISBLANK(Table1[[#This Row],[Purchase mode]]),"Unknown",Table1[[#This Row],[Purchase mode]])</f>
        <v>cash</v>
      </c>
      <c r="I91" t="str">
        <f>IF(ISBLANK(Table1[[#This Row],[Purchase mode]]),"cash",Table1[[#This Row],[Purchase mode]])</f>
        <v>cash</v>
      </c>
    </row>
    <row r="92" spans="3:9" x14ac:dyDescent="0.3">
      <c r="C92" s="5">
        <v>3027</v>
      </c>
      <c r="D92" s="3" t="s">
        <v>80</v>
      </c>
      <c r="E92" s="3" t="s">
        <v>30</v>
      </c>
      <c r="F92" s="3"/>
      <c r="G92" s="3">
        <v>29.26</v>
      </c>
      <c r="H92" t="str">
        <f>IF(ISBLANK(Table1[[#This Row],[Purchase mode]]),"Unknown",Table1[[#This Row],[Purchase mode]])</f>
        <v>Unknown</v>
      </c>
      <c r="I92" t="str">
        <f>IF(ISBLANK(Table1[[#This Row],[Purchase mode]]),"cash",Table1[[#This Row],[Purchase mode]])</f>
        <v>cash</v>
      </c>
    </row>
    <row r="93" spans="3:9" x14ac:dyDescent="0.3">
      <c r="C93" s="5">
        <v>3695</v>
      </c>
      <c r="D93" s="3" t="s">
        <v>107</v>
      </c>
      <c r="E93" s="3" t="s">
        <v>50</v>
      </c>
      <c r="F93" s="3"/>
      <c r="G93" s="3">
        <v>24.8</v>
      </c>
      <c r="H93" t="str">
        <f>IF(ISBLANK(Table1[[#This Row],[Purchase mode]]),"Unknown",Table1[[#This Row],[Purchase mode]])</f>
        <v>Unknown</v>
      </c>
      <c r="I93" t="str">
        <f>IF(ISBLANK(Table1[[#This Row],[Purchase mode]]),"cash",Table1[[#This Row],[Purchase mode]])</f>
        <v>cash</v>
      </c>
    </row>
    <row r="94" spans="3:9" x14ac:dyDescent="0.3">
      <c r="C94" s="5">
        <v>6258</v>
      </c>
      <c r="D94" s="3" t="s">
        <v>108</v>
      </c>
      <c r="E94" s="3" t="s">
        <v>28</v>
      </c>
      <c r="F94" s="3"/>
      <c r="G94" s="3">
        <v>13.69</v>
      </c>
      <c r="H94" t="str">
        <f>IF(ISBLANK(Table1[[#This Row],[Purchase mode]]),"Unknown",Table1[[#This Row],[Purchase mode]])</f>
        <v>Unknown</v>
      </c>
      <c r="I94" t="str">
        <f>IF(ISBLANK(Table1[[#This Row],[Purchase mode]]),"cash",Table1[[#This Row],[Purchase mode]])</f>
        <v>cash</v>
      </c>
    </row>
    <row r="95" spans="3:9" x14ac:dyDescent="0.3">
      <c r="C95" s="5">
        <v>6618</v>
      </c>
      <c r="D95" s="3" t="s">
        <v>109</v>
      </c>
      <c r="E95" s="3" t="s">
        <v>46</v>
      </c>
      <c r="F95" s="3"/>
      <c r="G95" s="3">
        <v>18.84</v>
      </c>
      <c r="H95" t="str">
        <f>IF(ISBLANK(Table1[[#This Row],[Purchase mode]]),"Unknown",Table1[[#This Row],[Purchase mode]])</f>
        <v>Unknown</v>
      </c>
      <c r="I95" t="str">
        <f>IF(ISBLANK(Table1[[#This Row],[Purchase mode]]),"cash",Table1[[#This Row],[Purchase mode]])</f>
        <v>cash</v>
      </c>
    </row>
    <row r="96" spans="3:9" x14ac:dyDescent="0.3">
      <c r="C96" s="5">
        <v>7736</v>
      </c>
      <c r="D96" s="3" t="s">
        <v>110</v>
      </c>
      <c r="E96" s="3" t="s">
        <v>30</v>
      </c>
      <c r="F96" s="3"/>
      <c r="G96" s="3">
        <v>45.67</v>
      </c>
      <c r="H96" t="str">
        <f>IF(ISBLANK(Table1[[#This Row],[Purchase mode]]),"Unknown",Table1[[#This Row],[Purchase mode]])</f>
        <v>Unknown</v>
      </c>
      <c r="I96" t="str">
        <f>IF(ISBLANK(Table1[[#This Row],[Purchase mode]]),"cash",Table1[[#This Row],[Purchase mode]])</f>
        <v>cash</v>
      </c>
    </row>
    <row r="97" spans="3:9" x14ac:dyDescent="0.3">
      <c r="C97" s="5">
        <v>1391</v>
      </c>
      <c r="D97" s="3" t="s">
        <v>111</v>
      </c>
      <c r="E97" s="3" t="s">
        <v>32</v>
      </c>
      <c r="F97" s="3"/>
      <c r="G97" s="3">
        <v>11.87</v>
      </c>
      <c r="H97" t="str">
        <f>IF(ISBLANK(Table1[[#This Row],[Purchase mode]]),"Unknown",Table1[[#This Row],[Purchase mode]])</f>
        <v>Unknown</v>
      </c>
      <c r="I97" t="str">
        <f>IF(ISBLANK(Table1[[#This Row],[Purchase mode]]),"cash",Table1[[#This Row],[Purchase mode]])</f>
        <v>cash</v>
      </c>
    </row>
    <row r="98" spans="3:9" x14ac:dyDescent="0.3">
      <c r="C98" s="5">
        <v>6892</v>
      </c>
      <c r="D98" s="3" t="s">
        <v>69</v>
      </c>
      <c r="E98" s="3" t="s">
        <v>43</v>
      </c>
      <c r="F98" s="3"/>
      <c r="G98" s="3">
        <v>49.17</v>
      </c>
      <c r="H98" t="str">
        <f>IF(ISBLANK(Table1[[#This Row],[Purchase mode]]),"Unknown",Table1[[#This Row],[Purchase mode]])</f>
        <v>Unknown</v>
      </c>
      <c r="I98" t="str">
        <f>IF(ISBLANK(Table1[[#This Row],[Purchase mode]]),"cash",Table1[[#This Row],[Purchase mode]])</f>
        <v>cash</v>
      </c>
    </row>
    <row r="99" spans="3:9" x14ac:dyDescent="0.3">
      <c r="C99" s="5">
        <v>4561</v>
      </c>
      <c r="D99" s="3" t="s">
        <v>112</v>
      </c>
      <c r="E99" s="3" t="s">
        <v>46</v>
      </c>
      <c r="F99" s="3"/>
      <c r="G99" s="3">
        <v>35.200000000000003</v>
      </c>
      <c r="H99" t="str">
        <f>IF(ISBLANK(Table1[[#This Row],[Purchase mode]]),"Unknown",Table1[[#This Row],[Purchase mode]])</f>
        <v>Unknown</v>
      </c>
      <c r="I99" t="str">
        <f>IF(ISBLANK(Table1[[#This Row],[Purchase mode]]),"cash",Table1[[#This Row],[Purchase mode]])</f>
        <v>cash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6AC6-693E-434B-974D-4C7889865728}">
  <dimension ref="F3:H93"/>
  <sheetViews>
    <sheetView workbookViewId="0">
      <selection activeCell="O15" sqref="O15"/>
    </sheetView>
  </sheetViews>
  <sheetFormatPr defaultRowHeight="14.4" x14ac:dyDescent="0.3"/>
  <cols>
    <col min="6" max="6" width="12" bestFit="1" customWidth="1"/>
    <col min="7" max="7" width="15.5546875" bestFit="1" customWidth="1"/>
    <col min="8" max="8" width="7.6640625" bestFit="1" customWidth="1"/>
  </cols>
  <sheetData>
    <row r="3" spans="6:8" x14ac:dyDescent="0.3">
      <c r="F3" s="8" t="s">
        <v>21</v>
      </c>
      <c r="G3" s="8" t="s">
        <v>22</v>
      </c>
      <c r="H3" s="8" t="s">
        <v>23</v>
      </c>
    </row>
    <row r="4" spans="6:8" x14ac:dyDescent="0.3">
      <c r="F4" s="3">
        <v>8270</v>
      </c>
      <c r="G4" s="3" t="s">
        <v>25</v>
      </c>
      <c r="H4" s="3" t="s">
        <v>26</v>
      </c>
    </row>
    <row r="5" spans="6:8" x14ac:dyDescent="0.3">
      <c r="F5" s="3">
        <v>1860</v>
      </c>
      <c r="G5" s="3" t="s">
        <v>27</v>
      </c>
      <c r="H5" s="3" t="s">
        <v>26</v>
      </c>
    </row>
    <row r="6" spans="6:8" x14ac:dyDescent="0.3">
      <c r="F6" s="3">
        <v>6390</v>
      </c>
      <c r="G6" s="3" t="s">
        <v>29</v>
      </c>
      <c r="H6" s="3" t="s">
        <v>46</v>
      </c>
    </row>
    <row r="7" spans="6:8" x14ac:dyDescent="0.3">
      <c r="F7" s="3">
        <v>6191</v>
      </c>
      <c r="G7" s="3" t="s">
        <v>31</v>
      </c>
      <c r="H7" s="3" t="s">
        <v>46</v>
      </c>
    </row>
    <row r="8" spans="6:8" x14ac:dyDescent="0.3">
      <c r="F8" s="3">
        <v>6734</v>
      </c>
      <c r="G8" s="3" t="s">
        <v>33</v>
      </c>
      <c r="H8" s="3" t="s">
        <v>46</v>
      </c>
    </row>
    <row r="9" spans="6:8" x14ac:dyDescent="0.3">
      <c r="F9" s="3">
        <v>7265</v>
      </c>
      <c r="G9" s="3" t="s">
        <v>34</v>
      </c>
      <c r="H9" s="3" t="s">
        <v>46</v>
      </c>
    </row>
    <row r="10" spans="6:8" x14ac:dyDescent="0.3">
      <c r="F10" s="3">
        <v>1466</v>
      </c>
      <c r="G10" s="3" t="s">
        <v>35</v>
      </c>
      <c r="H10" s="3" t="s">
        <v>26</v>
      </c>
    </row>
    <row r="11" spans="6:8" x14ac:dyDescent="0.3">
      <c r="F11" s="3">
        <v>5426</v>
      </c>
      <c r="G11" s="3" t="s">
        <v>36</v>
      </c>
      <c r="H11" s="3" t="s">
        <v>46</v>
      </c>
    </row>
    <row r="12" spans="6:8" x14ac:dyDescent="0.3">
      <c r="F12" s="3">
        <v>6578</v>
      </c>
      <c r="G12" s="3" t="s">
        <v>37</v>
      </c>
      <c r="H12" s="3" t="s">
        <v>46</v>
      </c>
    </row>
    <row r="13" spans="6:8" x14ac:dyDescent="0.3">
      <c r="F13" s="3">
        <v>9322</v>
      </c>
      <c r="G13" s="3" t="s">
        <v>38</v>
      </c>
      <c r="H13" s="3" t="s">
        <v>26</v>
      </c>
    </row>
    <row r="14" spans="6:8" x14ac:dyDescent="0.3">
      <c r="F14" s="3">
        <v>2685</v>
      </c>
      <c r="G14" s="3" t="s">
        <v>39</v>
      </c>
      <c r="H14" s="3" t="s">
        <v>26</v>
      </c>
    </row>
    <row r="15" spans="6:8" x14ac:dyDescent="0.3">
      <c r="F15" s="3">
        <v>1769</v>
      </c>
      <c r="G15" s="3" t="s">
        <v>40</v>
      </c>
      <c r="H15" s="3" t="s">
        <v>46</v>
      </c>
    </row>
    <row r="16" spans="6:8" x14ac:dyDescent="0.3">
      <c r="F16" s="3">
        <v>7949</v>
      </c>
      <c r="G16" s="3" t="s">
        <v>25</v>
      </c>
      <c r="H16" s="3" t="s">
        <v>46</v>
      </c>
    </row>
    <row r="17" spans="6:8" x14ac:dyDescent="0.3">
      <c r="F17" s="3">
        <v>3433</v>
      </c>
      <c r="G17" s="3" t="s">
        <v>41</v>
      </c>
      <c r="H17" s="3" t="s">
        <v>26</v>
      </c>
    </row>
    <row r="18" spans="6:8" x14ac:dyDescent="0.3">
      <c r="F18" s="3">
        <v>6311</v>
      </c>
      <c r="G18" s="3" t="s">
        <v>42</v>
      </c>
      <c r="H18" s="3" t="s">
        <v>26</v>
      </c>
    </row>
    <row r="19" spans="6:8" x14ac:dyDescent="0.3">
      <c r="F19" s="3">
        <v>6051</v>
      </c>
      <c r="G19" s="3" t="s">
        <v>44</v>
      </c>
      <c r="H19" s="3" t="s">
        <v>26</v>
      </c>
    </row>
    <row r="20" spans="6:8" x14ac:dyDescent="0.3">
      <c r="F20" s="3">
        <v>7420</v>
      </c>
      <c r="G20" s="3" t="s">
        <v>45</v>
      </c>
      <c r="H20" s="3" t="s">
        <v>46</v>
      </c>
    </row>
    <row r="21" spans="6:8" x14ac:dyDescent="0.3">
      <c r="F21" s="3">
        <v>2184</v>
      </c>
      <c r="G21" s="3" t="s">
        <v>47</v>
      </c>
      <c r="H21" s="3" t="s">
        <v>46</v>
      </c>
    </row>
    <row r="22" spans="6:8" x14ac:dyDescent="0.3">
      <c r="F22" s="3">
        <v>5555</v>
      </c>
      <c r="G22" s="3" t="s">
        <v>48</v>
      </c>
      <c r="H22" s="3" t="s">
        <v>46</v>
      </c>
    </row>
    <row r="23" spans="6:8" x14ac:dyDescent="0.3">
      <c r="F23" s="3">
        <v>4385</v>
      </c>
      <c r="G23" s="3" t="s">
        <v>49</v>
      </c>
      <c r="H23" s="3" t="s">
        <v>26</v>
      </c>
    </row>
    <row r="24" spans="6:8" x14ac:dyDescent="0.3">
      <c r="F24" s="3">
        <v>7396</v>
      </c>
      <c r="G24" s="3" t="s">
        <v>51</v>
      </c>
      <c r="H24" s="3" t="s">
        <v>26</v>
      </c>
    </row>
    <row r="25" spans="6:8" x14ac:dyDescent="0.3">
      <c r="F25" s="3">
        <v>9666</v>
      </c>
      <c r="G25" s="3" t="s">
        <v>52</v>
      </c>
      <c r="H25" s="3" t="s">
        <v>26</v>
      </c>
    </row>
    <row r="26" spans="6:8" x14ac:dyDescent="0.3">
      <c r="F26" s="3">
        <v>3558</v>
      </c>
      <c r="G26" s="3" t="s">
        <v>45</v>
      </c>
      <c r="H26" s="3" t="s">
        <v>46</v>
      </c>
    </row>
    <row r="27" spans="6:8" x14ac:dyDescent="0.3">
      <c r="F27" s="3">
        <v>8849</v>
      </c>
      <c r="G27" s="3" t="s">
        <v>53</v>
      </c>
      <c r="H27" s="3" t="s">
        <v>46</v>
      </c>
    </row>
    <row r="28" spans="6:8" x14ac:dyDescent="0.3">
      <c r="F28" s="3">
        <v>3047</v>
      </c>
      <c r="G28" s="3" t="s">
        <v>54</v>
      </c>
      <c r="H28" s="3" t="s">
        <v>26</v>
      </c>
    </row>
    <row r="29" spans="6:8" x14ac:dyDescent="0.3">
      <c r="F29" s="3">
        <v>3747</v>
      </c>
      <c r="G29" s="3" t="s">
        <v>55</v>
      </c>
      <c r="H29" s="3" t="s">
        <v>26</v>
      </c>
    </row>
    <row r="30" spans="6:8" x14ac:dyDescent="0.3">
      <c r="F30" s="3">
        <v>1189</v>
      </c>
      <c r="G30" s="3" t="s">
        <v>56</v>
      </c>
      <c r="H30" s="3" t="s">
        <v>26</v>
      </c>
    </row>
    <row r="31" spans="6:8" x14ac:dyDescent="0.3">
      <c r="F31" s="3">
        <v>3734</v>
      </c>
      <c r="G31" s="3" t="s">
        <v>55</v>
      </c>
      <c r="H31" s="3" t="s">
        <v>26</v>
      </c>
    </row>
    <row r="32" spans="6:8" x14ac:dyDescent="0.3">
      <c r="F32" s="3">
        <v>4005</v>
      </c>
      <c r="G32" s="3" t="s">
        <v>57</v>
      </c>
      <c r="H32" s="3" t="s">
        <v>26</v>
      </c>
    </row>
    <row r="33" spans="6:8" x14ac:dyDescent="0.3">
      <c r="F33" s="3">
        <v>5658</v>
      </c>
      <c r="G33" s="3" t="s">
        <v>58</v>
      </c>
      <c r="H33" s="3" t="s">
        <v>26</v>
      </c>
    </row>
    <row r="34" spans="6:8" x14ac:dyDescent="0.3">
      <c r="F34" s="3">
        <v>2899</v>
      </c>
      <c r="G34" s="3" t="s">
        <v>59</v>
      </c>
      <c r="H34" s="3" t="s">
        <v>26</v>
      </c>
    </row>
    <row r="35" spans="6:8" x14ac:dyDescent="0.3">
      <c r="F35" s="3">
        <v>8734</v>
      </c>
      <c r="G35" s="3" t="s">
        <v>60</v>
      </c>
      <c r="H35" s="3" t="s">
        <v>26</v>
      </c>
    </row>
    <row r="36" spans="6:8" x14ac:dyDescent="0.3">
      <c r="F36" s="3">
        <v>2267</v>
      </c>
      <c r="G36" s="3" t="s">
        <v>61</v>
      </c>
      <c r="H36" s="3" t="s">
        <v>26</v>
      </c>
    </row>
    <row r="37" spans="6:8" x14ac:dyDescent="0.3">
      <c r="F37" s="3">
        <v>2528</v>
      </c>
      <c r="G37" s="3" t="s">
        <v>59</v>
      </c>
      <c r="H37" s="3" t="s">
        <v>46</v>
      </c>
    </row>
    <row r="38" spans="6:8" x14ac:dyDescent="0.3">
      <c r="F38" s="3">
        <v>4556</v>
      </c>
      <c r="G38" s="3" t="s">
        <v>62</v>
      </c>
      <c r="H38" s="3" t="s">
        <v>26</v>
      </c>
    </row>
    <row r="39" spans="6:8" x14ac:dyDescent="0.3">
      <c r="F39" s="3">
        <v>4890</v>
      </c>
      <c r="G39" s="3" t="s">
        <v>63</v>
      </c>
      <c r="H39" s="3" t="s">
        <v>46</v>
      </c>
    </row>
    <row r="40" spans="6:8" x14ac:dyDescent="0.3">
      <c r="F40" s="3">
        <v>9838</v>
      </c>
      <c r="G40" s="3" t="s">
        <v>64</v>
      </c>
      <c r="H40" s="3" t="s">
        <v>26</v>
      </c>
    </row>
    <row r="41" spans="6:8" x14ac:dyDescent="0.3">
      <c r="F41" s="3">
        <v>6393</v>
      </c>
      <c r="G41" s="3" t="s">
        <v>65</v>
      </c>
      <c r="H41" s="3" t="s">
        <v>26</v>
      </c>
    </row>
    <row r="42" spans="6:8" x14ac:dyDescent="0.3">
      <c r="F42" s="3">
        <v>9792</v>
      </c>
      <c r="G42" s="3" t="s">
        <v>66</v>
      </c>
      <c r="H42" s="3" t="s">
        <v>26</v>
      </c>
    </row>
    <row r="43" spans="6:8" x14ac:dyDescent="0.3">
      <c r="F43" s="3">
        <v>9433</v>
      </c>
      <c r="G43" s="3" t="s">
        <v>67</v>
      </c>
      <c r="H43" s="3" t="s">
        <v>26</v>
      </c>
    </row>
    <row r="44" spans="6:8" x14ac:dyDescent="0.3">
      <c r="F44" s="3">
        <v>8513</v>
      </c>
      <c r="G44" s="3" t="s">
        <v>68</v>
      </c>
      <c r="H44" s="3" t="s">
        <v>26</v>
      </c>
    </row>
    <row r="45" spans="6:8" x14ac:dyDescent="0.3">
      <c r="F45" s="3">
        <v>3612</v>
      </c>
      <c r="G45" s="3" t="s">
        <v>69</v>
      </c>
      <c r="H45" s="3" t="s">
        <v>26</v>
      </c>
    </row>
    <row r="46" spans="6:8" x14ac:dyDescent="0.3">
      <c r="F46" s="3">
        <v>8041</v>
      </c>
      <c r="G46" s="3" t="s">
        <v>70</v>
      </c>
      <c r="H46" s="3" t="s">
        <v>46</v>
      </c>
    </row>
    <row r="47" spans="6:8" x14ac:dyDescent="0.3">
      <c r="F47" s="3">
        <v>7235</v>
      </c>
      <c r="G47" s="3" t="s">
        <v>71</v>
      </c>
      <c r="H47" s="3" t="s">
        <v>26</v>
      </c>
    </row>
    <row r="48" spans="6:8" x14ac:dyDescent="0.3">
      <c r="F48" s="3">
        <v>6486</v>
      </c>
      <c r="G48" s="3" t="s">
        <v>72</v>
      </c>
      <c r="H48" s="3" t="s">
        <v>46</v>
      </c>
    </row>
    <row r="49" spans="6:8" x14ac:dyDescent="0.3">
      <c r="F49" s="3">
        <v>8099</v>
      </c>
      <c r="G49" s="3" t="s">
        <v>73</v>
      </c>
      <c r="H49" s="3" t="s">
        <v>26</v>
      </c>
    </row>
    <row r="50" spans="6:8" x14ac:dyDescent="0.3">
      <c r="F50" s="3">
        <v>1775</v>
      </c>
      <c r="G50" s="3" t="s">
        <v>74</v>
      </c>
      <c r="H50" s="3" t="s">
        <v>26</v>
      </c>
    </row>
    <row r="51" spans="6:8" x14ac:dyDescent="0.3">
      <c r="F51" s="3">
        <v>9226</v>
      </c>
      <c r="G51" s="3" t="s">
        <v>75</v>
      </c>
      <c r="H51" s="3" t="s">
        <v>46</v>
      </c>
    </row>
    <row r="52" spans="6:8" x14ac:dyDescent="0.3">
      <c r="F52" s="3">
        <v>4152</v>
      </c>
      <c r="G52" s="3" t="s">
        <v>76</v>
      </c>
      <c r="H52" s="3" t="s">
        <v>46</v>
      </c>
    </row>
    <row r="53" spans="6:8" x14ac:dyDescent="0.3">
      <c r="F53" s="3">
        <v>2585</v>
      </c>
      <c r="G53" s="3" t="s">
        <v>77</v>
      </c>
      <c r="H53" s="3" t="s">
        <v>26</v>
      </c>
    </row>
    <row r="54" spans="6:8" x14ac:dyDescent="0.3">
      <c r="F54" s="3">
        <v>4943</v>
      </c>
      <c r="G54" s="3" t="s">
        <v>78</v>
      </c>
      <c r="H54" s="3" t="s">
        <v>46</v>
      </c>
    </row>
    <row r="55" spans="6:8" x14ac:dyDescent="0.3">
      <c r="F55" s="3">
        <v>8555</v>
      </c>
      <c r="G55" s="3" t="s">
        <v>79</v>
      </c>
      <c r="H55" s="3" t="s">
        <v>46</v>
      </c>
    </row>
    <row r="56" spans="6:8" x14ac:dyDescent="0.3">
      <c r="F56" s="3">
        <v>4073</v>
      </c>
      <c r="G56" s="3" t="s">
        <v>80</v>
      </c>
      <c r="H56" s="3" t="s">
        <v>46</v>
      </c>
    </row>
    <row r="57" spans="6:8" x14ac:dyDescent="0.3">
      <c r="F57" s="3">
        <v>2021</v>
      </c>
      <c r="G57" s="3" t="s">
        <v>81</v>
      </c>
      <c r="H57" s="3" t="s">
        <v>46</v>
      </c>
    </row>
    <row r="58" spans="6:8" x14ac:dyDescent="0.3">
      <c r="F58" s="3">
        <v>4843</v>
      </c>
      <c r="G58" s="3" t="s">
        <v>82</v>
      </c>
      <c r="H58" s="3" t="s">
        <v>26</v>
      </c>
    </row>
    <row r="59" spans="6:8" x14ac:dyDescent="0.3">
      <c r="F59" s="3">
        <v>8989</v>
      </c>
      <c r="G59" s="3" t="s">
        <v>83</v>
      </c>
      <c r="H59" s="3" t="s">
        <v>26</v>
      </c>
    </row>
    <row r="60" spans="6:8" x14ac:dyDescent="0.3">
      <c r="F60" s="3">
        <v>7873</v>
      </c>
      <c r="G60" s="3" t="s">
        <v>47</v>
      </c>
      <c r="H60" s="3" t="s">
        <v>26</v>
      </c>
    </row>
    <row r="61" spans="6:8" x14ac:dyDescent="0.3">
      <c r="F61" s="3">
        <v>6675</v>
      </c>
      <c r="G61" s="3" t="s">
        <v>84</v>
      </c>
      <c r="H61" s="3" t="s">
        <v>26</v>
      </c>
    </row>
    <row r="62" spans="6:8" x14ac:dyDescent="0.3">
      <c r="F62" s="3">
        <v>1161</v>
      </c>
      <c r="G62" s="3" t="s">
        <v>85</v>
      </c>
      <c r="H62" s="3" t="s">
        <v>26</v>
      </c>
    </row>
    <row r="63" spans="6:8" x14ac:dyDescent="0.3">
      <c r="F63" s="3">
        <v>5297</v>
      </c>
      <c r="G63" s="3" t="s">
        <v>86</v>
      </c>
      <c r="H63" s="3" t="s">
        <v>26</v>
      </c>
    </row>
    <row r="64" spans="6:8" x14ac:dyDescent="0.3">
      <c r="F64" s="3">
        <v>1995</v>
      </c>
      <c r="G64" s="3" t="s">
        <v>87</v>
      </c>
      <c r="H64" s="3" t="s">
        <v>26</v>
      </c>
    </row>
    <row r="65" spans="6:8" x14ac:dyDescent="0.3">
      <c r="F65" s="3">
        <v>8629</v>
      </c>
      <c r="G65" s="3" t="s">
        <v>88</v>
      </c>
      <c r="H65" s="3" t="s">
        <v>46</v>
      </c>
    </row>
    <row r="66" spans="6:8" x14ac:dyDescent="0.3">
      <c r="F66" s="3">
        <v>2016</v>
      </c>
      <c r="G66" s="3" t="s">
        <v>54</v>
      </c>
      <c r="H66" s="3" t="s">
        <v>26</v>
      </c>
    </row>
    <row r="67" spans="6:8" x14ac:dyDescent="0.3">
      <c r="F67" s="3">
        <v>8869</v>
      </c>
      <c r="G67" s="3" t="s">
        <v>89</v>
      </c>
      <c r="H67" s="3" t="s">
        <v>26</v>
      </c>
    </row>
    <row r="68" spans="6:8" x14ac:dyDescent="0.3">
      <c r="F68" s="3">
        <v>7439</v>
      </c>
      <c r="G68" s="3" t="s">
        <v>90</v>
      </c>
      <c r="H68" s="3" t="s">
        <v>46</v>
      </c>
    </row>
    <row r="69" spans="6:8" x14ac:dyDescent="0.3">
      <c r="F69" s="3">
        <v>8892</v>
      </c>
      <c r="G69" s="3" t="s">
        <v>91</v>
      </c>
      <c r="H69" s="3" t="s">
        <v>46</v>
      </c>
    </row>
    <row r="70" spans="6:8" x14ac:dyDescent="0.3">
      <c r="F70" s="3">
        <v>7863</v>
      </c>
      <c r="G70" s="3" t="s">
        <v>92</v>
      </c>
      <c r="H70" s="3" t="s">
        <v>26</v>
      </c>
    </row>
    <row r="71" spans="6:8" x14ac:dyDescent="0.3">
      <c r="F71" s="3">
        <v>8916</v>
      </c>
      <c r="G71" s="3" t="s">
        <v>93</v>
      </c>
      <c r="H71" s="3" t="s">
        <v>46</v>
      </c>
    </row>
    <row r="72" spans="6:8" x14ac:dyDescent="0.3">
      <c r="F72" s="3">
        <v>9529</v>
      </c>
      <c r="G72" s="3" t="s">
        <v>94</v>
      </c>
      <c r="H72" s="3" t="s">
        <v>26</v>
      </c>
    </row>
    <row r="73" spans="6:8" x14ac:dyDescent="0.3">
      <c r="F73" s="3">
        <v>1878</v>
      </c>
      <c r="G73" s="3" t="s">
        <v>95</v>
      </c>
      <c r="H73" s="3" t="s">
        <v>26</v>
      </c>
    </row>
    <row r="74" spans="6:8" x14ac:dyDescent="0.3">
      <c r="F74" s="3">
        <v>5887</v>
      </c>
      <c r="G74" s="3" t="s">
        <v>54</v>
      </c>
      <c r="H74" s="3" t="s">
        <v>26</v>
      </c>
    </row>
    <row r="75" spans="6:8" x14ac:dyDescent="0.3">
      <c r="F75" s="3">
        <v>5859</v>
      </c>
      <c r="G75" s="3" t="s">
        <v>96</v>
      </c>
      <c r="H75" s="3" t="s">
        <v>46</v>
      </c>
    </row>
    <row r="76" spans="6:8" x14ac:dyDescent="0.3">
      <c r="F76" s="3">
        <v>7331</v>
      </c>
      <c r="G76" s="3" t="s">
        <v>97</v>
      </c>
      <c r="H76" s="3" t="s">
        <v>26</v>
      </c>
    </row>
    <row r="77" spans="6:8" x14ac:dyDescent="0.3">
      <c r="F77" s="3">
        <v>9571</v>
      </c>
      <c r="G77" s="3" t="s">
        <v>98</v>
      </c>
      <c r="H77" s="3" t="s">
        <v>46</v>
      </c>
    </row>
    <row r="78" spans="6:8" x14ac:dyDescent="0.3">
      <c r="F78" s="3">
        <v>9684</v>
      </c>
      <c r="G78" s="3" t="s">
        <v>99</v>
      </c>
      <c r="H78" s="3" t="s">
        <v>46</v>
      </c>
    </row>
    <row r="79" spans="6:8" x14ac:dyDescent="0.3">
      <c r="F79" s="3">
        <v>8208</v>
      </c>
      <c r="G79" s="3" t="s">
        <v>100</v>
      </c>
      <c r="H79" s="3" t="s">
        <v>26</v>
      </c>
    </row>
    <row r="80" spans="6:8" x14ac:dyDescent="0.3">
      <c r="F80" s="3">
        <v>6276</v>
      </c>
      <c r="G80" s="3" t="s">
        <v>101</v>
      </c>
      <c r="H80" s="3" t="s">
        <v>46</v>
      </c>
    </row>
    <row r="81" spans="6:8" x14ac:dyDescent="0.3">
      <c r="F81" s="3">
        <v>3062</v>
      </c>
      <c r="G81" s="3" t="s">
        <v>102</v>
      </c>
      <c r="H81" s="3" t="s">
        <v>46</v>
      </c>
    </row>
    <row r="82" spans="6:8" x14ac:dyDescent="0.3">
      <c r="F82" s="3">
        <v>1064</v>
      </c>
      <c r="G82" s="3" t="s">
        <v>103</v>
      </c>
      <c r="H82" s="3" t="s">
        <v>46</v>
      </c>
    </row>
    <row r="83" spans="6:8" x14ac:dyDescent="0.3">
      <c r="F83" s="3">
        <v>9006</v>
      </c>
      <c r="G83" s="3" t="s">
        <v>104</v>
      </c>
      <c r="H83" s="3" t="s">
        <v>26</v>
      </c>
    </row>
    <row r="84" spans="6:8" x14ac:dyDescent="0.3">
      <c r="F84" s="3">
        <v>3568</v>
      </c>
      <c r="G84" s="3" t="s">
        <v>105</v>
      </c>
      <c r="H84" s="3" t="s">
        <v>26</v>
      </c>
    </row>
    <row r="85" spans="6:8" x14ac:dyDescent="0.3">
      <c r="F85" s="3">
        <v>6463</v>
      </c>
      <c r="G85" s="3" t="s">
        <v>106</v>
      </c>
      <c r="H85" s="3" t="s">
        <v>26</v>
      </c>
    </row>
    <row r="86" spans="6:8" x14ac:dyDescent="0.3">
      <c r="F86" s="3">
        <v>3027</v>
      </c>
      <c r="G86" s="3" t="s">
        <v>80</v>
      </c>
      <c r="H86" s="3" t="s">
        <v>46</v>
      </c>
    </row>
    <row r="87" spans="6:8" x14ac:dyDescent="0.3">
      <c r="F87" s="3">
        <v>3695</v>
      </c>
      <c r="G87" s="3" t="s">
        <v>107</v>
      </c>
      <c r="H87" s="3" t="s">
        <v>26</v>
      </c>
    </row>
    <row r="88" spans="6:8" x14ac:dyDescent="0.3">
      <c r="F88" s="3">
        <v>6258</v>
      </c>
      <c r="G88" s="3" t="s">
        <v>108</v>
      </c>
      <c r="H88" s="3" t="s">
        <v>26</v>
      </c>
    </row>
    <row r="89" spans="6:8" x14ac:dyDescent="0.3">
      <c r="F89" s="3">
        <v>6618</v>
      </c>
      <c r="G89" s="3" t="s">
        <v>109</v>
      </c>
      <c r="H89" s="3" t="s">
        <v>46</v>
      </c>
    </row>
    <row r="90" spans="6:8" x14ac:dyDescent="0.3">
      <c r="F90" s="3">
        <v>7736</v>
      </c>
      <c r="G90" s="3" t="s">
        <v>110</v>
      </c>
      <c r="H90" s="3" t="s">
        <v>46</v>
      </c>
    </row>
    <row r="91" spans="6:8" x14ac:dyDescent="0.3">
      <c r="F91" s="3">
        <v>1391</v>
      </c>
      <c r="G91" s="3" t="s">
        <v>111</v>
      </c>
      <c r="H91" s="3" t="s">
        <v>46</v>
      </c>
    </row>
    <row r="92" spans="6:8" x14ac:dyDescent="0.3">
      <c r="F92" s="3">
        <v>6892</v>
      </c>
      <c r="G92" s="3" t="s">
        <v>69</v>
      </c>
      <c r="H92" s="3" t="s">
        <v>26</v>
      </c>
    </row>
    <row r="93" spans="6:8" x14ac:dyDescent="0.3">
      <c r="F93" s="3">
        <v>4561</v>
      </c>
      <c r="G93" s="3" t="s">
        <v>112</v>
      </c>
      <c r="H93" s="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6AFC-715C-4500-8C65-32BA2E1D70D1}">
  <dimension ref="A1:G11"/>
  <sheetViews>
    <sheetView workbookViewId="0">
      <selection activeCell="I4" sqref="I4"/>
    </sheetView>
  </sheetViews>
  <sheetFormatPr defaultRowHeight="14.4" x14ac:dyDescent="0.3"/>
  <cols>
    <col min="2" max="2" width="20.109375" bestFit="1" customWidth="1"/>
    <col min="5" max="5" width="20.109375" bestFit="1" customWidth="1"/>
    <col min="6" max="6" width="19.33203125" bestFit="1" customWidth="1"/>
    <col min="12" max="12" width="13.88671875" bestFit="1" customWidth="1"/>
  </cols>
  <sheetData>
    <row r="1" spans="1:7" s="18" customFormat="1" ht="23.4" x14ac:dyDescent="0.45">
      <c r="A1" s="17" t="s">
        <v>459</v>
      </c>
    </row>
    <row r="3" spans="1:7" x14ac:dyDescent="0.3">
      <c r="E3" s="13" t="s">
        <v>460</v>
      </c>
      <c r="F3" s="14"/>
    </row>
    <row r="4" spans="1:7" x14ac:dyDescent="0.3">
      <c r="E4" t="s">
        <v>475</v>
      </c>
      <c r="F4" t="s">
        <v>476</v>
      </c>
      <c r="G4">
        <v>21</v>
      </c>
    </row>
    <row r="5" spans="1:7" x14ac:dyDescent="0.3">
      <c r="E5" t="s">
        <v>477</v>
      </c>
      <c r="F5" t="s">
        <v>478</v>
      </c>
      <c r="G5">
        <v>17</v>
      </c>
    </row>
    <row r="6" spans="1:7" x14ac:dyDescent="0.3">
      <c r="E6" t="s">
        <v>479</v>
      </c>
      <c r="F6" t="s">
        <v>480</v>
      </c>
      <c r="G6">
        <v>16</v>
      </c>
    </row>
    <row r="7" spans="1:7" x14ac:dyDescent="0.3">
      <c r="E7" t="s">
        <v>481</v>
      </c>
      <c r="F7" t="s">
        <v>482</v>
      </c>
      <c r="G7">
        <v>22</v>
      </c>
    </row>
    <row r="8" spans="1:7" x14ac:dyDescent="0.3">
      <c r="E8" t="s">
        <v>483</v>
      </c>
      <c r="F8" t="s">
        <v>484</v>
      </c>
      <c r="G8">
        <v>25</v>
      </c>
    </row>
    <row r="9" spans="1:7" x14ac:dyDescent="0.3">
      <c r="E9" t="s">
        <v>485</v>
      </c>
      <c r="F9" t="s">
        <v>486</v>
      </c>
      <c r="G9">
        <v>14</v>
      </c>
    </row>
    <row r="10" spans="1:7" x14ac:dyDescent="0.3">
      <c r="E10" t="s">
        <v>487</v>
      </c>
      <c r="F10" t="s">
        <v>488</v>
      </c>
      <c r="G10">
        <v>19</v>
      </c>
    </row>
    <row r="11" spans="1:7" x14ac:dyDescent="0.3">
      <c r="E11" t="s">
        <v>489</v>
      </c>
      <c r="F11" t="s">
        <v>490</v>
      </c>
      <c r="G11">
        <v>23</v>
      </c>
    </row>
  </sheetData>
  <mergeCells count="1">
    <mergeCell ref="A1:XF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EBBD-0EF4-4549-9479-4521AEE46FED}">
  <dimension ref="A1:I14"/>
  <sheetViews>
    <sheetView workbookViewId="0">
      <selection activeCell="N12" sqref="N12"/>
    </sheetView>
  </sheetViews>
  <sheetFormatPr defaultRowHeight="14.4" x14ac:dyDescent="0.3"/>
  <cols>
    <col min="6" max="6" width="19.33203125" bestFit="1" customWidth="1"/>
    <col min="8" max="8" width="16.6640625" bestFit="1" customWidth="1"/>
  </cols>
  <sheetData>
    <row r="1" spans="1:9" s="18" customFormat="1" ht="23.4" x14ac:dyDescent="0.45">
      <c r="A1" s="17" t="s">
        <v>461</v>
      </c>
    </row>
    <row r="2" spans="1:9" x14ac:dyDescent="0.3">
      <c r="H2" s="15" t="s">
        <v>462</v>
      </c>
    </row>
    <row r="4" spans="1:9" x14ac:dyDescent="0.3">
      <c r="F4" s="14" t="s">
        <v>460</v>
      </c>
    </row>
    <row r="5" spans="1:9" x14ac:dyDescent="0.3">
      <c r="F5" t="s">
        <v>463</v>
      </c>
      <c r="G5" t="s">
        <v>491</v>
      </c>
      <c r="H5" t="s">
        <v>500</v>
      </c>
      <c r="I5">
        <v>28</v>
      </c>
    </row>
    <row r="6" spans="1:9" x14ac:dyDescent="0.3">
      <c r="F6" t="s">
        <v>464</v>
      </c>
      <c r="G6" t="s">
        <v>492</v>
      </c>
      <c r="H6" t="s">
        <v>149</v>
      </c>
      <c r="I6">
        <v>16</v>
      </c>
    </row>
    <row r="7" spans="1:9" x14ac:dyDescent="0.3">
      <c r="F7" t="s">
        <v>465</v>
      </c>
      <c r="G7" t="s">
        <v>491</v>
      </c>
      <c r="H7" t="s">
        <v>475</v>
      </c>
      <c r="I7">
        <v>21</v>
      </c>
    </row>
    <row r="8" spans="1:9" x14ac:dyDescent="0.3">
      <c r="F8" t="s">
        <v>466</v>
      </c>
      <c r="G8" t="s">
        <v>493</v>
      </c>
      <c r="H8" t="s">
        <v>477</v>
      </c>
      <c r="I8">
        <v>17</v>
      </c>
    </row>
    <row r="9" spans="1:9" x14ac:dyDescent="0.3">
      <c r="F9" t="s">
        <v>467</v>
      </c>
      <c r="G9" t="s">
        <v>494</v>
      </c>
      <c r="H9" t="s">
        <v>479</v>
      </c>
      <c r="I9">
        <v>16</v>
      </c>
    </row>
    <row r="10" spans="1:9" x14ac:dyDescent="0.3">
      <c r="F10" t="s">
        <v>468</v>
      </c>
      <c r="G10" t="s">
        <v>495</v>
      </c>
      <c r="H10" t="s">
        <v>481</v>
      </c>
      <c r="I10">
        <v>22</v>
      </c>
    </row>
    <row r="11" spans="1:9" x14ac:dyDescent="0.3">
      <c r="F11" t="s">
        <v>469</v>
      </c>
      <c r="G11" t="s">
        <v>496</v>
      </c>
      <c r="H11" t="s">
        <v>483</v>
      </c>
      <c r="I11">
        <v>25</v>
      </c>
    </row>
    <row r="12" spans="1:9" x14ac:dyDescent="0.3">
      <c r="F12" t="s">
        <v>470</v>
      </c>
      <c r="G12" t="s">
        <v>497</v>
      </c>
      <c r="H12" t="s">
        <v>485</v>
      </c>
      <c r="I12">
        <v>14</v>
      </c>
    </row>
    <row r="13" spans="1:9" x14ac:dyDescent="0.3">
      <c r="F13" t="s">
        <v>471</v>
      </c>
      <c r="G13" t="s">
        <v>498</v>
      </c>
      <c r="H13" t="s">
        <v>487</v>
      </c>
      <c r="I13">
        <v>19</v>
      </c>
    </row>
    <row r="14" spans="1:9" x14ac:dyDescent="0.3">
      <c r="F14" t="s">
        <v>472</v>
      </c>
      <c r="G14" t="s">
        <v>499</v>
      </c>
      <c r="H14" t="s">
        <v>489</v>
      </c>
      <c r="I14">
        <v>23</v>
      </c>
    </row>
  </sheetData>
  <mergeCells count="1">
    <mergeCell ref="A1:XF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4D94A2-EE64-4627-913F-7FDA8B62D9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Today</vt:lpstr>
      <vt:lpstr>DATA CLEANING</vt:lpstr>
      <vt:lpstr>Remove Duplicate</vt:lpstr>
      <vt:lpstr>MISSING VALUE</vt:lpstr>
      <vt:lpstr>DATA INCONSISTENCY</vt:lpstr>
      <vt:lpstr>Text to column</vt:lpstr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Binjus Jacob</dc:creator>
  <cp:lastModifiedBy>muhammed aflah</cp:lastModifiedBy>
  <dcterms:created xsi:type="dcterms:W3CDTF">2026-03-19T04:35:05Z</dcterms:created>
  <dcterms:modified xsi:type="dcterms:W3CDTF">2026-07-15T05:39:49Z</dcterms:modified>
</cp:coreProperties>
</file>